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sh Flow" state="visible" r:id="rId5"/>
    <sheet sheetId="3" name="Herd Plan" state="visible" r:id="rId6"/>
    <sheet sheetId="4" name="Assumptions" state="visible" r:id="rId7"/>
  </sheets>
  <definedNames>
    <definedName name="_xlnm.Print_Titles" localSheetId="1">'Cash Flow'!$1:$1,'Cash Flow'!$1:$5</definedName>
    <definedName name="_xlnm.Print_Titles" localSheetId="2">'Herd Plan'!$1:$6</definedName>
    <definedName name="_xlnm.Print_Titles" localSheetId="3">'Assumptions'!$1:$6</definedName>
  </definedNames>
  <calcPr calcId="171027" fullCalcOnLoad="1"/>
</workbook>
</file>

<file path=xl/sharedStrings.xml><?xml version="1.0" encoding="utf-8"?>
<sst xmlns="http://schemas.openxmlformats.org/spreadsheetml/2006/main" count="235" uniqueCount="176">
  <si>
    <t>My piggery plan — Funding cashflow</t>
  </si>
  <si>
    <t>36-month simulated plan from 2027-01-01 · USD · prepared 16/09/2026</t>
  </si>
  <si>
    <t>Funding overview</t>
  </si>
  <si>
    <t>Opening cash</t>
  </si>
  <si>
    <t>Peak funding need</t>
  </si>
  <si>
    <t>Total receipts</t>
  </si>
  <si>
    <t>Total payments</t>
  </si>
  <si>
    <t>Closing cash</t>
  </si>
  <si>
    <t>Lowest cash balance</t>
  </si>
  <si>
    <t>Pigs sold</t>
  </si>
  <si>
    <t>Final sow herd</t>
  </si>
  <si>
    <t>Annual cashflow summary</t>
  </si>
  <si>
    <t>Period</t>
  </si>
  <si>
    <t>Receipts</t>
  </si>
  <si>
    <t>Payments</t>
  </si>
  <si>
    <t>Net cash flow</t>
  </si>
  <si>
    <t>Ending sows</t>
  </si>
  <si>
    <t>Year 1</t>
  </si>
  <si>
    <t>Year 2</t>
  </si>
  <si>
    <t>Year 3</t>
  </si>
  <si>
    <t>Key planning notes</t>
  </si>
  <si>
    <t>Additional funding is required: The lowest projected cash balance is below zero. Plan at least the calculated funding gap plus a liquidity buffer.</t>
  </si>
  <si>
    <t>This is one run of many possible farms: Litter size, conception, mortality and timing are drawn at random from your assumptions. Change the scenario seed to see how much the outcome moves before you commit to a plan.</t>
  </si>
  <si>
    <t>Planning statement: this workbook presents one simulated case based on the assumptions supplied in PigFlow. It is not a guarantee of performance. Validate prices, health protocols, construction quotations and production assumptions before submission.</t>
  </si>
  <si>
    <t>Reconciliation checks</t>
  </si>
  <si>
    <t>Opening cash + total net cash − closing cash</t>
  </si>
  <si>
    <t>Annual receipts less monthly receipts</t>
  </si>
  <si>
    <t>Annual payments less monthly payments</t>
  </si>
  <si>
    <t>Detailed monthly cashflow</t>
  </si>
  <si>
    <t>USD · cash basis · values in nominal currency · negative values shown in parentheses</t>
  </si>
  <si>
    <t>Opening cash balance</t>
  </si>
  <si>
    <t>Cashflow line</t>
  </si>
  <si>
    <t>Plan total / end</t>
  </si>
  <si>
    <t>CASH RECEIPTS</t>
  </si>
  <si>
    <t xml:space="preserve">  Pig sales</t>
  </si>
  <si>
    <t xml:space="preserve">  Breeding gilt sales</t>
  </si>
  <si>
    <t xml:space="preserve">  Cull sow sales</t>
  </si>
  <si>
    <t xml:space="preserve">  Other income</t>
  </si>
  <si>
    <t>CASH PAYMENTS</t>
  </si>
  <si>
    <t xml:space="preserve">  Feed</t>
  </si>
  <si>
    <t xml:space="preserve">  Vaccination &amp; treatment</t>
  </si>
  <si>
    <t xml:space="preserve">  Routine veterinary</t>
  </si>
  <si>
    <t xml:space="preserve">  Heating</t>
  </si>
  <si>
    <t xml:space="preserve">  Fixed overheads</t>
  </si>
  <si>
    <t xml:space="preserve">  Transport</t>
  </si>
  <si>
    <t xml:space="preserve">  Bought-in breeding stock</t>
  </si>
  <si>
    <t xml:space="preserve">  Contingency</t>
  </si>
  <si>
    <t xml:space="preserve">  Capital expenditure</t>
  </si>
  <si>
    <t>Closing cash balance</t>
  </si>
  <si>
    <t>Funding requirement</t>
  </si>
  <si>
    <t>Monthly herd and production plan</t>
  </si>
  <si>
    <t>My piggery plan · month-end stock positions and monthly production flows</t>
  </si>
  <si>
    <t>Month</t>
  </si>
  <si>
    <t>Farrowings</t>
  </si>
  <si>
    <t>Born alive</t>
  </si>
  <si>
    <t>Weaned</t>
  </si>
  <si>
    <t>Sale liveweight kg</t>
  </si>
  <si>
    <t>Deaths</t>
  </si>
  <si>
    <t>Sows</t>
  </si>
  <si>
    <t>Gilts</t>
  </si>
  <si>
    <t>Piglets</t>
  </si>
  <si>
    <t>Weaners</t>
  </si>
  <si>
    <t>Growers</t>
  </si>
  <si>
    <t>Finishers</t>
  </si>
  <si>
    <t>Total growing</t>
  </si>
  <si>
    <t>Sow feed kg</t>
  </si>
  <si>
    <t>Growing feed kg</t>
  </si>
  <si>
    <t>Model assumptions</t>
  </si>
  <si>
    <t>Inputs used for this export. Change assumptions in PigFlow and export again to update the simulated cashflow.</t>
  </si>
  <si>
    <t>Assumption</t>
  </si>
  <si>
    <t>Value</t>
  </si>
  <si>
    <t>Unit</t>
  </si>
  <si>
    <t>Notes</t>
  </si>
  <si>
    <t>PROJECT</t>
  </si>
  <si>
    <t>Project name</t>
  </si>
  <si>
    <t>My piggery plan</t>
  </si>
  <si>
    <t>Start date</t>
  </si>
  <si>
    <t>2027-01-01</t>
  </si>
  <si>
    <t>date</t>
  </si>
  <si>
    <t>Planning horizon</t>
  </si>
  <si>
    <t>months</t>
  </si>
  <si>
    <t>Currency</t>
  </si>
  <si>
    <t>USD</t>
  </si>
  <si>
    <t>Simulation seed</t>
  </si>
  <si>
    <t>OPENING HERD &amp; POLICY</t>
  </si>
  <si>
    <t>Opening sows</t>
  </si>
  <si>
    <t>head</t>
  </si>
  <si>
    <t>Opening gilts</t>
  </si>
  <si>
    <t>Opening boars</t>
  </si>
  <si>
    <t>Opening weaners</t>
  </si>
  <si>
    <t>Opening growers</t>
  </si>
  <si>
    <t>Opening finishers</t>
  </si>
  <si>
    <t>Herd start mode</t>
  </si>
  <si>
    <t>synchronised</t>
  </si>
  <si>
    <t>Maximum sows</t>
  </si>
  <si>
    <t>Cull after parity</t>
  </si>
  <si>
    <t>parities</t>
  </si>
  <si>
    <t>Retain home-bred gilts</t>
  </si>
  <si>
    <t>Yes</t>
  </si>
  <si>
    <t>yes/no</t>
  </si>
  <si>
    <t>Buy gilts when short</t>
  </si>
  <si>
    <t>No</t>
  </si>
  <si>
    <t>Sow &amp; boar mortality</t>
  </si>
  <si>
    <t>% per year</t>
  </si>
  <si>
    <t>Gilt selection weight</t>
  </si>
  <si>
    <t>kg</t>
  </si>
  <si>
    <t>Gilt service weight</t>
  </si>
  <si>
    <t>Gilt service age</t>
  </si>
  <si>
    <t>days</t>
  </si>
  <si>
    <t>Gilt purchase cost</t>
  </si>
  <si>
    <t>Boar purchase cost</t>
  </si>
  <si>
    <t>Surplus gilt sale value</t>
  </si>
  <si>
    <t>Cull sow sale value</t>
  </si>
  <si>
    <t>REPRODUCTION</t>
  </si>
  <si>
    <t>Gestation</t>
  </si>
  <si>
    <t>Weaning age</t>
  </si>
  <si>
    <t>Wean-to-service</t>
  </si>
  <si>
    <t>Farrowing success</t>
  </si>
  <si>
    <t>%</t>
  </si>
  <si>
    <t>Born alive per litter</t>
  </si>
  <si>
    <t>piglets</t>
  </si>
  <si>
    <t>Pre-weaning mortality</t>
  </si>
  <si>
    <t>GROWTH</t>
  </si>
  <si>
    <t>Weaning Weight Kg</t>
  </si>
  <si>
    <t>Grower Start Weight Kg</t>
  </si>
  <si>
    <t>Finisher Start Weight Kg</t>
  </si>
  <si>
    <t>Sale Weight Kg</t>
  </si>
  <si>
    <t>Weaner Daily Gain Kg</t>
  </si>
  <si>
    <t>kg/day</t>
  </si>
  <si>
    <t>Grower Daily Gain Kg</t>
  </si>
  <si>
    <t>Finisher Daily Gain Kg</t>
  </si>
  <si>
    <t>Weaner Fcr</t>
  </si>
  <si>
    <t>feed/gain</t>
  </si>
  <si>
    <t>Grower Fcr</t>
  </si>
  <si>
    <t>Finisher Fcr</t>
  </si>
  <si>
    <t>Weaner Mortality Pct</t>
  </si>
  <si>
    <t>% per stage</t>
  </si>
  <si>
    <t>Grower Mortality Pct</t>
  </si>
  <si>
    <t>Finisher Mortality Pct</t>
  </si>
  <si>
    <t>FEED</t>
  </si>
  <si>
    <t>Gestation Kg Day</t>
  </si>
  <si>
    <t>Lactation Kg Day</t>
  </si>
  <si>
    <t>Boar Kg Day</t>
  </si>
  <si>
    <t>Creep Start Age Days</t>
  </si>
  <si>
    <t>Creep Kg Per Pig Day</t>
  </si>
  <si>
    <t>Sow Feed Cost Kg</t>
  </si>
  <si>
    <t>USD/kg</t>
  </si>
  <si>
    <t>Creep Feed Cost Kg</t>
  </si>
  <si>
    <t>Weaner Feed Cost Kg</t>
  </si>
  <si>
    <t>Grower Feed Cost Kg</t>
  </si>
  <si>
    <t>Finisher Feed Cost Kg</t>
  </si>
  <si>
    <t>HEALTH</t>
  </si>
  <si>
    <t>Veterinary cost per sow</t>
  </si>
  <si>
    <t>USD/month</t>
  </si>
  <si>
    <t>Heating cost per pig</t>
  </si>
  <si>
    <t>USD/day</t>
  </si>
  <si>
    <t>Heated until age</t>
  </si>
  <si>
    <t>FINANCE</t>
  </si>
  <si>
    <t>Sale Price Kg</t>
  </si>
  <si>
    <t>Transport Per Pig Sold</t>
  </si>
  <si>
    <t>Labour Monthly</t>
  </si>
  <si>
    <t>Utilities Monthly</t>
  </si>
  <si>
    <t>Bedding Monthly</t>
  </si>
  <si>
    <t>Biosecurity Monthly</t>
  </si>
  <si>
    <t>Other Fixed Monthly</t>
  </si>
  <si>
    <t>Other Income Monthly</t>
  </si>
  <si>
    <t>Initial Capital Costs</t>
  </si>
  <si>
    <t>Contingency Pct</t>
  </si>
  <si>
    <t>VACCINATION SCHEDULE</t>
  </si>
  <si>
    <t>Treatment</t>
  </si>
  <si>
    <t>Age</t>
  </si>
  <si>
    <t>Cost per pig</t>
  </si>
  <si>
    <t>Iron injection</t>
  </si>
  <si>
    <t>Mycoplasma</t>
  </si>
  <si>
    <t>PCV2 / circovirus</t>
  </si>
  <si>
    <t>Deworming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</si>
</sst>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;[Red]($#,##0);-"/>
    <numFmt numFmtId="165" formatCode="#,##0;[Red](#,##0);-"/>
    <numFmt numFmtId="166" formatCode="$#,##0.00;[Red]($#,##0.00);-"/>
  </numFmts>
  <fonts count="14" x14ac:knownFonts="1">
    <font>
      <color theme="1"/>
      <family val="2"/>
      <scheme val="minor"/>
      <sz val="11"/>
      <name val="Calibri"/>
    </font>
    <font>
      <b/>
      <color rgb="17324D"/>
      <sz val="16"/>
      <name val="Aptos"/>
    </font>
    <font>
      <i/>
      <color rgb="667085"/>
      <sz val="10"/>
      <name val="Aptos"/>
    </font>
    <font>
      <b/>
      <color rgb="17324D"/>
      <sz val="12"/>
      <name val="Aptos"/>
    </font>
    <font>
      <color rgb="667085"/>
      <sz val="10"/>
      <name val="Aptos"/>
    </font>
    <font>
      <b/>
      <color rgb="B42318"/>
      <sz val="12"/>
      <name val="Aptos"/>
    </font>
    <font>
      <b/>
      <color rgb="FFFFFF"/>
      <sz val="10"/>
      <name val="Aptos"/>
    </font>
    <font>
      <color rgb="17212B"/>
      <sz val="10"/>
      <name val="Aptos"/>
    </font>
    <font>
      <i/>
      <color rgb="667085"/>
      <sz val="9"/>
      <name val="Aptos"/>
    </font>
    <font>
      <b/>
      <color rgb="17324D"/>
      <sz val="11"/>
      <name val="Aptos"/>
    </font>
    <font>
      <b/>
      <color rgb="17212B"/>
      <sz val="10"/>
      <name val="Aptos"/>
    </font>
    <font>
      <b/>
      <color rgb="17324D"/>
      <sz val="10"/>
      <name val="Aptos"/>
    </font>
    <font>
      <b/>
      <color rgb="B42318"/>
      <sz val="10"/>
      <name val="Aptos"/>
    </font>
    <font>
      <color rgb="0563C1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F6F7F9"/>
      </patternFill>
    </fill>
    <fill>
      <patternFill patternType="solid">
        <fgColor rgb="FFF4D6"/>
      </patternFill>
    </fill>
    <fill>
      <patternFill patternType="solid">
        <fgColor rgb="EAF2FB"/>
      </patternFill>
    </fill>
  </fills>
  <borders count="6">
    <border>
      <left/>
      <right/>
      <top/>
      <bottom/>
      <diagonal/>
    </border>
    <border>
      <left/>
      <right style="thin">
        <color rgb="FFFFFF"/>
      </right>
      <top/>
      <bottom/>
      <diagonal/>
    </border>
    <border>
      <left/>
      <right/>
      <top/>
      <bottom style="thin">
        <color rgb="D9DEE5"/>
      </bottom>
      <diagonal/>
    </border>
    <border>
      <left/>
      <right/>
      <top style="thin">
        <color rgb="D9DEE5"/>
      </top>
      <bottom style="thin">
        <color rgb="D9DEE5"/>
      </bottom>
      <diagonal/>
    </border>
    <border>
      <left/>
      <right/>
      <top style="thin">
        <color rgb="D9DEE5"/>
      </top>
      <bottom/>
      <diagonal/>
    </border>
    <border>
      <left/>
      <right/>
      <top style="double">
        <color rgb="17324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0" fontId="7" fillId="4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0" fontId="10" fillId="3" borderId="0" xfId="0" applyFont="1" applyFill="1"/>
    <xf numFmtId="0" fontId="10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164" fontId="11" fillId="5" borderId="3" xfId="0" applyNumberFormat="1" applyFont="1" applyFill="1" applyBorder="1"/>
    <xf numFmtId="164" fontId="10" fillId="3" borderId="3" xfId="0" applyNumberFormat="1" applyFont="1" applyFill="1" applyBorder="1"/>
    <xf numFmtId="164" fontId="7" fillId="0" borderId="0" xfId="0" applyNumberFormat="1" applyFont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4" fontId="0" fillId="0" borderId="0" xfId="0" applyNumberFormat="1"/>
    <xf numFmtId="0" fontId="10" fillId="0" borderId="5" xfId="0" applyFont="1" applyBorder="1" applyAlignment="1">
      <alignment vertical="center"/>
    </xf>
    <xf numFmtId="164" fontId="10" fillId="0" borderId="5" xfId="0" applyNumberFormat="1" applyFont="1" applyBorder="1" applyAlignment="1">
      <alignment vertical="center"/>
    </xf>
    <xf numFmtId="164" fontId="10" fillId="3" borderId="5" xfId="0" applyNumberFormat="1" applyFont="1" applyFill="1" applyBorder="1" applyAlignment="1">
      <alignment vertical="center"/>
    </xf>
    <xf numFmtId="0" fontId="12" fillId="4" borderId="5" xfId="0" applyFont="1" applyFill="1" applyBorder="1" applyAlignment="1">
      <alignment vertical="center"/>
    </xf>
    <xf numFmtId="164" fontId="12" fillId="4" borderId="5" xfId="0" applyNumberFormat="1" applyFont="1" applyFill="1" applyBorder="1" applyAlignment="1">
      <alignment vertical="center"/>
    </xf>
    <xf numFmtId="17" fontId="7" fillId="0" borderId="2" xfId="0" applyNumberFormat="1" applyFont="1" applyBorder="1" applyAlignment="1">
      <alignment vertical="center"/>
    </xf>
    <xf numFmtId="0" fontId="11" fillId="5" borderId="3" xfId="0" applyFont="1" applyFill="1" applyBorder="1"/>
    <xf numFmtId="0" fontId="13" fillId="4" borderId="2" xfId="0" applyFont="1" applyFill="1" applyBorder="1" applyAlignment="1">
      <alignment vertical="center"/>
    </xf>
    <xf numFmtId="0" fontId="0" fillId="0" borderId="2" xfId="0" applyBorder="1"/>
    <xf numFmtId="166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7324D"/>
    <pageSetUpPr fitToPage="1"/>
  </sheetPr>
  <dimension ref="A2:H3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4" width="15" customWidth="1"/>
    <col min="5" max="5" width="18" customWidth="1"/>
    <col min="6" max="6" width="15" customWidth="1"/>
    <col min="7" max="7" width="11" customWidth="1"/>
    <col min="8" max="8" width="12" customWidth="1"/>
  </cols>
  <sheetData>
    <row r="2" ht="24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18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ht="3" customHeight="1" spans="1:8" x14ac:dyDescent="0.25">
      <c r="A4" s="3"/>
      <c r="B4" s="3"/>
      <c r="C4" s="3"/>
      <c r="D4" s="3"/>
      <c r="E4" s="3"/>
      <c r="F4" s="3"/>
      <c r="G4" s="3"/>
      <c r="H4" s="3"/>
    </row>
    <row r="6" spans="2:2" x14ac:dyDescent="0.25">
      <c r="B6" s="4" t="s">
        <v>2</v>
      </c>
    </row>
    <row r="8" ht="25" customHeight="1" spans="2:6" x14ac:dyDescent="0.25">
      <c r="B8" s="5" t="s">
        <v>3</v>
      </c>
      <c r="C8" s="6">
        <v>0</v>
      </c>
      <c r="E8" s="5" t="s">
        <v>4</v>
      </c>
      <c r="F8" s="7">
        <v>23922.575358971128</v>
      </c>
    </row>
    <row r="10" ht="25" customHeight="1" spans="2:6" x14ac:dyDescent="0.25">
      <c r="B10" s="5" t="s">
        <v>5</v>
      </c>
      <c r="C10" s="6">
        <v>170112.90514090372</v>
      </c>
      <c r="E10" s="5" t="s">
        <v>6</v>
      </c>
      <c r="F10" s="6">
        <v>141808.82635975734</v>
      </c>
    </row>
    <row r="12" ht="25" customHeight="1" spans="2:6" x14ac:dyDescent="0.25">
      <c r="B12" s="5" t="s">
        <v>7</v>
      </c>
      <c r="C12" s="6">
        <v>28304.078781146327</v>
      </c>
      <c r="E12" s="5" t="s">
        <v>8</v>
      </c>
      <c r="F12" s="6">
        <v>-23922.575358971128</v>
      </c>
    </row>
    <row r="14" ht="25" customHeight="1" spans="2:6" x14ac:dyDescent="0.25">
      <c r="B14" s="5" t="s">
        <v>9</v>
      </c>
      <c r="C14" s="8">
        <v>471</v>
      </c>
      <c r="E14" s="5" t="s">
        <v>10</v>
      </c>
      <c r="F14" s="8">
        <v>20</v>
      </c>
    </row>
    <row r="17" spans="2:2" x14ac:dyDescent="0.25">
      <c r="B17" s="4" t="s">
        <v>11</v>
      </c>
    </row>
    <row r="19" ht="22" customHeight="1" spans="2:8" x14ac:dyDescent="0.25">
      <c r="B19" s="9" t="s">
        <v>12</v>
      </c>
      <c r="C19" s="10" t="s">
        <v>13</v>
      </c>
      <c r="D19" s="10" t="s">
        <v>14</v>
      </c>
      <c r="E19" s="10" t="s">
        <v>15</v>
      </c>
      <c r="F19" s="10" t="s">
        <v>7</v>
      </c>
      <c r="G19" s="10" t="s">
        <v>9</v>
      </c>
      <c r="H19" s="10" t="s">
        <v>16</v>
      </c>
    </row>
    <row r="20" spans="2:8" x14ac:dyDescent="0.25">
      <c r="B20" s="11" t="s">
        <v>17</v>
      </c>
      <c r="C20" s="12">
        <v>6683.147551366043</v>
      </c>
      <c r="D20" s="12">
        <v>22108.350922363672</v>
      </c>
      <c r="E20" s="12">
        <v>-15425.203370997628</v>
      </c>
      <c r="F20" s="12">
        <v>-15425.203370997651</v>
      </c>
      <c r="G20" s="13">
        <v>19</v>
      </c>
      <c r="H20" s="13">
        <v>4</v>
      </c>
    </row>
    <row r="21" spans="2:8" x14ac:dyDescent="0.25">
      <c r="B21" s="11" t="s">
        <v>18</v>
      </c>
      <c r="C21" s="12">
        <v>30567.33029615494</v>
      </c>
      <c r="D21" s="12">
        <v>34571.82004740892</v>
      </c>
      <c r="E21" s="12">
        <v>-4004.4897512539756</v>
      </c>
      <c r="F21" s="12">
        <v>-19429.69312225164</v>
      </c>
      <c r="G21" s="13">
        <v>87</v>
      </c>
      <c r="H21" s="13">
        <v>16</v>
      </c>
    </row>
    <row r="22" spans="2:8" x14ac:dyDescent="0.25">
      <c r="B22" s="11" t="s">
        <v>19</v>
      </c>
      <c r="C22" s="12">
        <v>132862.42729338276</v>
      </c>
      <c r="D22" s="12">
        <v>85128.65538998478</v>
      </c>
      <c r="E22" s="12">
        <v>47733.77190339798</v>
      </c>
      <c r="F22" s="12">
        <v>28304.078781146327</v>
      </c>
      <c r="G22" s="13">
        <v>365</v>
      </c>
      <c r="H22" s="13">
        <v>20</v>
      </c>
    </row>
    <row r="25" spans="2:2" x14ac:dyDescent="0.25">
      <c r="B25" s="4" t="s">
        <v>20</v>
      </c>
    </row>
    <row r="27" ht="35" customHeight="1" spans="2:8" x14ac:dyDescent="0.25">
      <c r="B27" s="14" t="s">
        <v>21</v>
      </c>
      <c r="C27" s="14"/>
      <c r="D27" s="14"/>
      <c r="E27" s="14"/>
      <c r="F27" s="14"/>
      <c r="G27" s="14"/>
      <c r="H27" s="14"/>
    </row>
    <row r="28" ht="35" customHeight="1" spans="2:8" x14ac:dyDescent="0.25">
      <c r="B28" s="15" t="s">
        <v>22</v>
      </c>
      <c r="C28" s="15"/>
      <c r="D28" s="15"/>
      <c r="E28" s="15"/>
      <c r="F28" s="15"/>
      <c r="G28" s="15"/>
      <c r="H28" s="15"/>
    </row>
    <row r="31" spans="2:8" x14ac:dyDescent="0.25">
      <c r="B31" s="16" t="s">
        <v>23</v>
      </c>
      <c r="C31" s="16"/>
      <c r="D31" s="16"/>
      <c r="E31" s="16"/>
      <c r="F31" s="16"/>
      <c r="G31" s="16"/>
      <c r="H31" s="16"/>
    </row>
    <row r="32" spans="2:8" x14ac:dyDescent="0.25">
      <c r="B32" s="16"/>
      <c r="C32" s="16"/>
      <c r="D32" s="16"/>
      <c r="E32" s="16"/>
      <c r="F32" s="16"/>
      <c r="G32" s="16"/>
      <c r="H32" s="16"/>
    </row>
    <row r="35" spans="2:2" x14ac:dyDescent="0.25">
      <c r="B35" s="17" t="s">
        <v>24</v>
      </c>
    </row>
    <row r="36" spans="2:6" x14ac:dyDescent="0.25">
      <c r="B36" s="18" t="s">
        <v>25</v>
      </c>
      <c r="F36" s="19">
        <f>'Cash Flow'!B4+'Cash Flow'!AL25-'Cash Flow'!AK26</f>
        <v>0</v>
      </c>
    </row>
    <row r="37" spans="2:6" x14ac:dyDescent="0.25">
      <c r="B37" s="18" t="s">
        <v>26</v>
      </c>
      <c r="F37" s="19">
        <f>SUM(C20:C22)-'Cash Flow'!AL11</f>
        <v>0</v>
      </c>
    </row>
    <row r="38" spans="2:6" x14ac:dyDescent="0.25">
      <c r="B38" s="18" t="s">
        <v>27</v>
      </c>
      <c r="F38" s="19">
        <f>SUM(D20:D22)-'Cash Flow'!AL23</f>
        <v>0</v>
      </c>
    </row>
  </sheetData>
  <mergeCells count="5">
    <mergeCell ref="A2:H2"/>
    <mergeCell ref="A3:H3"/>
    <mergeCell ref="B27:H27"/>
    <mergeCell ref="B28:H28"/>
    <mergeCell ref="B31:H32"/>
  </mergeCells>
  <pageMargins left="0.35" right="0.35" top="0.5" bottom="0.5" header="0.2" footer="0.2"/>
  <pageSetup paperSize="9" orientation="portrait" horizontalDpi="4294967295" verticalDpi="4294967295" scale="100" fitToWidth="1" fitToHeight="1"/>
  <headerFooter>
    <oddFooter>&amp;LPigFlow funding cashflow&amp;RPage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A78D6"/>
    <pageSetUpPr fitToPage="1"/>
  </sheetPr>
  <dimension ref="A2:AL27"/>
  <sheetViews>
    <sheetView workbookViewId="0" showGridLines="0"/>
  </sheetViews>
  <sheetFormatPr defaultRowHeight="15" outlineLevelRow="0" outlineLevelCol="0" x14ac:dyDescent="55"/>
  <cols>
    <col min="1" max="1" width="30" customWidth="1"/>
    <col min="2" max="37" width="13" customWidth="1"/>
    <col min="38" max="38" width="13" style="20" customWidth="1"/>
  </cols>
  <sheetData>
    <row r="2" ht="24" customHeight="1" spans="1:38" x14ac:dyDescent="0.25">
      <c r="A2" s="21" t="s">
        <v>28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ht="18" customHeight="1" spans="1:38" x14ac:dyDescent="0.25">
      <c r="A3" s="21" t="s">
        <v>29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ht="3" customHeight="1" spans="1:38" x14ac:dyDescent="0.25">
      <c r="A4" s="22" t="s">
        <v>30</v>
      </c>
      <c r="B4" s="23">
        <v>0</v>
      </c>
      <c r="C4" s="23">
        <f>B26</f>
        <v>-8747.314400000008</v>
      </c>
      <c r="D4" s="23">
        <f>C26</f>
        <v>-9481.751600000016</v>
      </c>
      <c r="E4" s="23">
        <f>D26</f>
        <v>-10229.066000000024</v>
      </c>
      <c r="F4" s="23">
        <f>E26</f>
        <v>-11001.21500000003</v>
      </c>
      <c r="G4" s="23">
        <f>F26</f>
        <v>-11920.249527035188</v>
      </c>
      <c r="H4" s="23">
        <f>G26</f>
        <v>-13059.855687954694</v>
      </c>
      <c r="I4" s="23">
        <f>H26</f>
        <v>-14339.527589182284</v>
      </c>
      <c r="J4" s="23">
        <f>I26</f>
        <v>-15832.220820060034</v>
      </c>
      <c r="K4" s="23">
        <f>J26</f>
        <v>-17159.136197144333</v>
      </c>
      <c r="L4" s="23">
        <f>K26</f>
        <v>-14706.18894198307</v>
      </c>
      <c r="M4" s="23">
        <f>L26</f>
        <v>-13994.109509195985</v>
      </c>
      <c r="N4" s="23">
        <f>M26</f>
        <v>-15425.203370997651</v>
      </c>
      <c r="O4" s="23">
        <f>N26</f>
        <v>-17011.881591295754</v>
      </c>
      <c r="P4" s="23">
        <f>O26</f>
        <v>-16917.054575033024</v>
      </c>
      <c r="Q4" s="23">
        <f>P26</f>
        <v>-15383.192024110114</v>
      </c>
      <c r="R4" s="23">
        <f>Q26</f>
        <v>-16697.351034030144</v>
      </c>
      <c r="S4" s="23">
        <f>R26</f>
        <v>-18942.774273842027</v>
      </c>
      <c r="T4" s="23">
        <f>S26</f>
        <v>-21782.281420685882</v>
      </c>
      <c r="U4" s="23">
        <f>T26</f>
        <v>-23922.575358971128</v>
      </c>
      <c r="V4" s="23">
        <f>U26</f>
        <v>-22069.58885581748</v>
      </c>
      <c r="W4" s="23">
        <f>V26</f>
        <v>-19416.549538048683</v>
      </c>
      <c r="X4" s="23">
        <f>W26</f>
        <v>-17040.283951196918</v>
      </c>
      <c r="Y4" s="23">
        <f>X26</f>
        <v>-17228.654321528265</v>
      </c>
      <c r="Z4" s="23">
        <f>Y26</f>
        <v>-19429.69312225164</v>
      </c>
      <c r="AA4" s="23">
        <f>Z26</f>
        <v>-20775.028215178143</v>
      </c>
      <c r="AB4" s="23">
        <f>AA26</f>
        <v>-18015.69028523692</v>
      </c>
      <c r="AC4" s="23">
        <f>AB26</f>
        <v>-10896.944170887033</v>
      </c>
      <c r="AD4" s="23">
        <f>AC26</f>
        <v>-10564.230188831865</v>
      </c>
      <c r="AE4" s="23">
        <f>AD26</f>
        <v>-15166.081229636593</v>
      </c>
      <c r="AF4" s="23">
        <f>AE26</f>
        <v>-16959.371805817453</v>
      </c>
      <c r="AG4" s="23">
        <f>AF26</f>
        <v>-8003.763913799119</v>
      </c>
      <c r="AH4" s="23">
        <f>AG26</f>
        <v>6832.618194189381</v>
      </c>
      <c r="AI4" s="23">
        <f>AH26</f>
        <v>14222.821124802002</v>
      </c>
      <c r="AJ4" s="23">
        <f>AI26</f>
        <v>15633.99987782605</v>
      </c>
      <c r="AK4" s="23">
        <f>AJ26</f>
        <v>20992.720496106544</v>
      </c>
      <c r="AL4" s="24">
        <v>0</v>
      </c>
    </row>
    <row r="5" ht="22" customHeight="1" spans="1:38" x14ac:dyDescent="0.25">
      <c r="A5" s="9" t="s">
        <v>31</v>
      </c>
      <c r="B5" s="25">
        <v>46387.91666666667</v>
      </c>
      <c r="C5" s="25">
        <v>46418.91666666667</v>
      </c>
      <c r="D5" s="25">
        <v>46446.91666666667</v>
      </c>
      <c r="E5" s="25">
        <v>46477.91666666667</v>
      </c>
      <c r="F5" s="25">
        <v>46507.91666666667</v>
      </c>
      <c r="G5" s="25">
        <v>46538.91666666667</v>
      </c>
      <c r="H5" s="25">
        <v>46568.91666666667</v>
      </c>
      <c r="I5" s="25">
        <v>46599.91666666667</v>
      </c>
      <c r="J5" s="25">
        <v>46630.91666666667</v>
      </c>
      <c r="K5" s="25">
        <v>46660.91666666667</v>
      </c>
      <c r="L5" s="25">
        <v>46691.91666666667</v>
      </c>
      <c r="M5" s="25">
        <v>46721.91666666667</v>
      </c>
      <c r="N5" s="25">
        <v>46752.91666666667</v>
      </c>
      <c r="O5" s="25">
        <v>46783.91666666667</v>
      </c>
      <c r="P5" s="25">
        <v>46812.91666666667</v>
      </c>
      <c r="Q5" s="25">
        <v>46843.91666666667</v>
      </c>
      <c r="R5" s="25">
        <v>46873.91666666667</v>
      </c>
      <c r="S5" s="25">
        <v>46904.91666666667</v>
      </c>
      <c r="T5" s="25">
        <v>46934.91666666667</v>
      </c>
      <c r="U5" s="25">
        <v>46965.91666666667</v>
      </c>
      <c r="V5" s="25">
        <v>46996.91666666667</v>
      </c>
      <c r="W5" s="25">
        <v>47026.91666666667</v>
      </c>
      <c r="X5" s="25">
        <v>47057.91666666667</v>
      </c>
      <c r="Y5" s="25">
        <v>47087.91666666667</v>
      </c>
      <c r="Z5" s="25">
        <v>47118.91666666667</v>
      </c>
      <c r="AA5" s="25">
        <v>47149.91666666667</v>
      </c>
      <c r="AB5" s="25">
        <v>47177.91666666667</v>
      </c>
      <c r="AC5" s="25">
        <v>47208.91666666667</v>
      </c>
      <c r="AD5" s="25">
        <v>47238.91666666667</v>
      </c>
      <c r="AE5" s="25">
        <v>47269.91666666667</v>
      </c>
      <c r="AF5" s="25">
        <v>47299.91666666667</v>
      </c>
      <c r="AG5" s="25">
        <v>47330.91666666667</v>
      </c>
      <c r="AH5" s="25">
        <v>47361.91666666667</v>
      </c>
      <c r="AI5" s="25">
        <v>47391.91666666667</v>
      </c>
      <c r="AJ5" s="25">
        <v>47422.91666666667</v>
      </c>
      <c r="AK5" s="25">
        <v>47452.91666666667</v>
      </c>
      <c r="AL5" s="26" t="s">
        <v>32</v>
      </c>
    </row>
    <row r="6" ht="20" customHeight="1" spans="1:38" x14ac:dyDescent="0.25">
      <c r="A6" s="27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9"/>
    </row>
    <row r="7" spans="1:38" x14ac:dyDescent="0.25">
      <c r="A7" s="18" t="s">
        <v>34</v>
      </c>
      <c r="B7" s="30">
        <v>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352.41010758224274</v>
      </c>
      <c r="K7" s="30">
        <v>4222.002404807746</v>
      </c>
      <c r="L7" s="30">
        <v>2108.735038976055</v>
      </c>
      <c r="M7" s="30">
        <v>0</v>
      </c>
      <c r="N7" s="30">
        <v>0</v>
      </c>
      <c r="O7" s="30">
        <v>1757.7554486797815</v>
      </c>
      <c r="P7" s="30">
        <v>3162.6209396789723</v>
      </c>
      <c r="Q7" s="30">
        <v>351.5614009016337</v>
      </c>
      <c r="R7" s="30">
        <v>0</v>
      </c>
      <c r="S7" s="30">
        <v>0</v>
      </c>
      <c r="T7" s="30">
        <v>1403.6808639835322</v>
      </c>
      <c r="U7" s="30">
        <v>5617.097118520152</v>
      </c>
      <c r="V7" s="30">
        <v>6323.141789040817</v>
      </c>
      <c r="W7" s="30">
        <v>6326.317431413132</v>
      </c>
      <c r="X7" s="30">
        <v>3517.883928499395</v>
      </c>
      <c r="Y7" s="30">
        <v>2107.271375437525</v>
      </c>
      <c r="Z7" s="30">
        <v>3168.456995904812</v>
      </c>
      <c r="AA7" s="30">
        <v>7381.786892185012</v>
      </c>
      <c r="AB7" s="30">
        <v>12305.954793797046</v>
      </c>
      <c r="AC7" s="30">
        <v>5271.795385626765</v>
      </c>
      <c r="AD7" s="30">
        <v>1754.9767281241457</v>
      </c>
      <c r="AE7" s="30">
        <v>6326.631811337822</v>
      </c>
      <c r="AF7" s="30">
        <v>17572.639781298585</v>
      </c>
      <c r="AG7" s="30">
        <v>22845.209472378407</v>
      </c>
      <c r="AH7" s="30">
        <v>14065.355911483726</v>
      </c>
      <c r="AI7" s="30">
        <v>8790.2145259296</v>
      </c>
      <c r="AJ7" s="30">
        <v>13360.769144522446</v>
      </c>
      <c r="AK7" s="30">
        <v>15458.635850794377</v>
      </c>
      <c r="AL7" s="24">
        <f>SUM(B7:AK7)</f>
        <v>165552.9051409037</v>
      </c>
    </row>
    <row r="8" spans="1:38" x14ac:dyDescent="0.25">
      <c r="A8" s="18" t="s">
        <v>35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320</v>
      </c>
      <c r="AA8" s="30">
        <v>320</v>
      </c>
      <c r="AB8" s="30">
        <v>320</v>
      </c>
      <c r="AC8" s="30">
        <v>640</v>
      </c>
      <c r="AD8" s="30">
        <v>640</v>
      </c>
      <c r="AE8" s="30">
        <v>0</v>
      </c>
      <c r="AF8" s="30">
        <v>320</v>
      </c>
      <c r="AG8" s="30">
        <v>320</v>
      </c>
      <c r="AH8" s="30">
        <v>640</v>
      </c>
      <c r="AI8" s="30">
        <v>640</v>
      </c>
      <c r="AJ8" s="30">
        <v>0</v>
      </c>
      <c r="AK8" s="30">
        <v>0</v>
      </c>
      <c r="AL8" s="24">
        <f>SUM(B8:AK8)</f>
        <v>4160</v>
      </c>
    </row>
    <row r="9" spans="1:38" x14ac:dyDescent="0.25">
      <c r="A9" s="18" t="s">
        <v>36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200</v>
      </c>
      <c r="AF9" s="30">
        <v>200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24">
        <f>SUM(B9:AK9)</f>
        <v>400</v>
      </c>
    </row>
    <row r="10" spans="1:38" x14ac:dyDescent="0.25">
      <c r="A10" s="18" t="s">
        <v>37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24">
        <f>SUM(B10:AK10)</f>
        <v>0</v>
      </c>
    </row>
    <row r="11" spans="1:38" x14ac:dyDescent="0.25">
      <c r="A11" s="31" t="s">
        <v>5</v>
      </c>
      <c r="B11" s="32">
        <f>SUM(B7:B10)</f>
        <v>0</v>
      </c>
      <c r="C11" s="32">
        <f>SUM(C7:C10)</f>
        <v>0</v>
      </c>
      <c r="D11" s="32">
        <f>SUM(D7:D10)</f>
        <v>0</v>
      </c>
      <c r="E11" s="32">
        <f>SUM(E7:E10)</f>
        <v>0</v>
      </c>
      <c r="F11" s="32">
        <f>SUM(F7:F10)</f>
        <v>0</v>
      </c>
      <c r="G11" s="32">
        <f>SUM(G7:G10)</f>
        <v>0</v>
      </c>
      <c r="H11" s="32">
        <f>SUM(H7:H10)</f>
        <v>0</v>
      </c>
      <c r="I11" s="32">
        <f>SUM(I7:I10)</f>
        <v>0</v>
      </c>
      <c r="J11" s="32">
        <f>SUM(J7:J10)</f>
        <v>352.41010758224274</v>
      </c>
      <c r="K11" s="32">
        <f>SUM(K7:K10)</f>
        <v>4222.002404807746</v>
      </c>
      <c r="L11" s="32">
        <f>SUM(L7:L10)</f>
        <v>2108.735038976055</v>
      </c>
      <c r="M11" s="32">
        <f>SUM(M7:M10)</f>
        <v>0</v>
      </c>
      <c r="N11" s="32">
        <f>SUM(N7:N10)</f>
        <v>0</v>
      </c>
      <c r="O11" s="32">
        <f>SUM(O7:O10)</f>
        <v>1757.7554486797815</v>
      </c>
      <c r="P11" s="32">
        <f>SUM(P7:P10)</f>
        <v>3162.6209396789723</v>
      </c>
      <c r="Q11" s="32">
        <f>SUM(Q7:Q10)</f>
        <v>351.5614009016337</v>
      </c>
      <c r="R11" s="32">
        <f>SUM(R7:R10)</f>
        <v>0</v>
      </c>
      <c r="S11" s="32">
        <f>SUM(S7:S10)</f>
        <v>0</v>
      </c>
      <c r="T11" s="32">
        <f>SUM(T7:T10)</f>
        <v>1403.6808639835322</v>
      </c>
      <c r="U11" s="32">
        <f>SUM(U7:U10)</f>
        <v>5617.097118520152</v>
      </c>
      <c r="V11" s="32">
        <f>SUM(V7:V10)</f>
        <v>6323.141789040817</v>
      </c>
      <c r="W11" s="32">
        <f>SUM(W7:W10)</f>
        <v>6326.317431413132</v>
      </c>
      <c r="X11" s="32">
        <f>SUM(X7:X10)</f>
        <v>3517.883928499395</v>
      </c>
      <c r="Y11" s="32">
        <f>SUM(Y7:Y10)</f>
        <v>2107.271375437525</v>
      </c>
      <c r="Z11" s="32">
        <f>SUM(Z7:Z10)</f>
        <v>3488.456995904812</v>
      </c>
      <c r="AA11" s="32">
        <f>SUM(AA7:AA10)</f>
        <v>7701.786892185012</v>
      </c>
      <c r="AB11" s="32">
        <f>SUM(AB7:AB10)</f>
        <v>12625.954793797046</v>
      </c>
      <c r="AC11" s="32">
        <f>SUM(AC7:AC10)</f>
        <v>5911.795385626765</v>
      </c>
      <c r="AD11" s="32">
        <f>SUM(AD7:AD10)</f>
        <v>2394.9767281241457</v>
      </c>
      <c r="AE11" s="32">
        <f>SUM(AE7:AE10)</f>
        <v>6526.631811337822</v>
      </c>
      <c r="AF11" s="32">
        <f>SUM(AF7:AF10)</f>
        <v>18092.639781298585</v>
      </c>
      <c r="AG11" s="32">
        <f>SUM(AG7:AG10)</f>
        <v>23165.209472378407</v>
      </c>
      <c r="AH11" s="32">
        <f>SUM(AH7:AH10)</f>
        <v>14705.355911483726</v>
      </c>
      <c r="AI11" s="32">
        <f>SUM(AI7:AI10)</f>
        <v>9430.2145259296</v>
      </c>
      <c r="AJ11" s="32">
        <f>SUM(AJ7:AJ10)</f>
        <v>13360.769144522446</v>
      </c>
      <c r="AK11" s="32">
        <f>SUM(AK7:AK10)</f>
        <v>15458.635850794377</v>
      </c>
      <c r="AL11" s="33">
        <f>SUM(B11:AK11)</f>
        <v>170112.90514090372</v>
      </c>
    </row>
    <row r="12" spans="2:38" x14ac:dyDescent="0.25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 ht="20" customHeight="1" spans="1:38" x14ac:dyDescent="0.25">
      <c r="A13" s="27" t="s">
        <v>38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9"/>
    </row>
    <row r="14" spans="1:38" x14ac:dyDescent="0.25">
      <c r="A14" s="18" t="s">
        <v>39</v>
      </c>
      <c r="B14" s="30">
        <v>126.72799999999991</v>
      </c>
      <c r="C14" s="30">
        <v>114.46399999999993</v>
      </c>
      <c r="D14" s="30">
        <v>126.72799999999991</v>
      </c>
      <c r="E14" s="30">
        <v>142.8</v>
      </c>
      <c r="F14" s="30">
        <v>254.17097812872765</v>
      </c>
      <c r="G14" s="30">
        <v>422.7892008757165</v>
      </c>
      <c r="H14" s="30">
        <v>620.3851440262735</v>
      </c>
      <c r="I14" s="30">
        <v>836.6126008359586</v>
      </c>
      <c r="J14" s="30">
        <v>998.0076044443334</v>
      </c>
      <c r="K14" s="30">
        <v>994.5944282347472</v>
      </c>
      <c r="L14" s="30">
        <v>684.648196370445</v>
      </c>
      <c r="M14" s="30">
        <v>772.8365350492003</v>
      </c>
      <c r="N14" s="30">
        <v>921.1221145696165</v>
      </c>
      <c r="O14" s="30">
        <v>954.3113642067129</v>
      </c>
      <c r="P14" s="30">
        <v>832.6784654819643</v>
      </c>
      <c r="Q14" s="30">
        <v>898.9103912587173</v>
      </c>
      <c r="R14" s="30">
        <v>1416.9883236303692</v>
      </c>
      <c r="S14" s="30">
        <v>2004.7725208036834</v>
      </c>
      <c r="T14" s="30">
        <v>2700.5740973988254</v>
      </c>
      <c r="U14" s="30">
        <v>2847.637252729997</v>
      </c>
      <c r="V14" s="30">
        <v>2726.0256869257255</v>
      </c>
      <c r="W14" s="30">
        <v>2884.304137677498</v>
      </c>
      <c r="X14" s="30">
        <v>2741.4959988864275</v>
      </c>
      <c r="Y14" s="30">
        <v>3386.01254872467</v>
      </c>
      <c r="Z14" s="30">
        <v>3872.7115131726828</v>
      </c>
      <c r="AA14" s="30">
        <v>3805.234249755987</v>
      </c>
      <c r="AB14" s="30">
        <v>4097.130647092533</v>
      </c>
      <c r="AC14" s="30">
        <v>4331.150860544379</v>
      </c>
      <c r="AD14" s="30">
        <v>5834.535494217971</v>
      </c>
      <c r="AE14" s="30">
        <v>7017.1756071606505</v>
      </c>
      <c r="AF14" s="30">
        <v>7613.385132647857</v>
      </c>
      <c r="AG14" s="30">
        <v>6721.716537514191</v>
      </c>
      <c r="AH14" s="30">
        <v>5899.062362734382</v>
      </c>
      <c r="AI14" s="30">
        <v>6717.026926576711</v>
      </c>
      <c r="AJ14" s="30">
        <v>6686.698596420921</v>
      </c>
      <c r="AK14" s="30">
        <v>6758.081967385331</v>
      </c>
      <c r="AL14" s="24">
        <f>SUM(B14:AK14)</f>
        <v>99763.5074854832</v>
      </c>
    </row>
    <row r="15" spans="1:38" x14ac:dyDescent="0.25">
      <c r="A15" s="18" t="s">
        <v>40</v>
      </c>
      <c r="B15" s="30">
        <v>0</v>
      </c>
      <c r="C15" s="30">
        <v>0</v>
      </c>
      <c r="D15" s="30">
        <v>0</v>
      </c>
      <c r="E15" s="30">
        <v>3.5000000000000004</v>
      </c>
      <c r="F15" s="30">
        <v>15.499999999999996</v>
      </c>
      <c r="G15" s="30">
        <v>54.14999999999999</v>
      </c>
      <c r="H15" s="30">
        <v>6.750000000000002</v>
      </c>
      <c r="I15" s="30">
        <v>0</v>
      </c>
      <c r="J15" s="30">
        <v>4.55</v>
      </c>
      <c r="K15" s="30">
        <v>35.3</v>
      </c>
      <c r="L15" s="30">
        <v>22.900000000000002</v>
      </c>
      <c r="M15" s="30">
        <v>3.1500000000000004</v>
      </c>
      <c r="N15" s="30">
        <v>0</v>
      </c>
      <c r="O15" s="30">
        <v>4.55</v>
      </c>
      <c r="P15" s="30">
        <v>56.39999999999999</v>
      </c>
      <c r="Q15" s="30">
        <v>51.44999999999999</v>
      </c>
      <c r="R15" s="30">
        <v>72.54999999999998</v>
      </c>
      <c r="S15" s="30">
        <v>55.400000000000006</v>
      </c>
      <c r="T15" s="30">
        <v>32.6</v>
      </c>
      <c r="U15" s="30">
        <v>45.949999999999996</v>
      </c>
      <c r="V15" s="30">
        <v>49.55</v>
      </c>
      <c r="W15" s="30">
        <v>114.35</v>
      </c>
      <c r="X15" s="30">
        <v>80.15</v>
      </c>
      <c r="Y15" s="30">
        <v>52.599999999999994</v>
      </c>
      <c r="Z15" s="30">
        <v>44.9</v>
      </c>
      <c r="AA15" s="30">
        <v>100.50000000000001</v>
      </c>
      <c r="AB15" s="30">
        <v>215.15000000000003</v>
      </c>
      <c r="AC15" s="30">
        <v>173.10000000000002</v>
      </c>
      <c r="AD15" s="30">
        <v>110.94999999999999</v>
      </c>
      <c r="AE15" s="30">
        <v>128</v>
      </c>
      <c r="AF15" s="30">
        <v>155.85000000000002</v>
      </c>
      <c r="AG15" s="30">
        <v>172.1</v>
      </c>
      <c r="AH15" s="30">
        <v>170.35</v>
      </c>
      <c r="AI15" s="30">
        <v>126.14999999999998</v>
      </c>
      <c r="AJ15" s="30">
        <v>90.7</v>
      </c>
      <c r="AK15" s="30">
        <v>105.05</v>
      </c>
      <c r="AL15" s="24">
        <f>SUM(B15:AK15)</f>
        <v>2354.15</v>
      </c>
    </row>
    <row r="16" spans="1:38" x14ac:dyDescent="0.25">
      <c r="A16" s="18" t="s">
        <v>41</v>
      </c>
      <c r="B16" s="30">
        <v>5</v>
      </c>
      <c r="C16" s="30">
        <v>5</v>
      </c>
      <c r="D16" s="30">
        <v>5</v>
      </c>
      <c r="E16" s="30">
        <v>5</v>
      </c>
      <c r="F16" s="30">
        <v>5</v>
      </c>
      <c r="G16" s="30">
        <v>5</v>
      </c>
      <c r="H16" s="30">
        <v>5</v>
      </c>
      <c r="I16" s="30">
        <v>5</v>
      </c>
      <c r="J16" s="30">
        <v>5</v>
      </c>
      <c r="K16" s="30">
        <v>5</v>
      </c>
      <c r="L16" s="30">
        <v>5</v>
      </c>
      <c r="M16" s="30">
        <v>5</v>
      </c>
      <c r="N16" s="30">
        <v>10</v>
      </c>
      <c r="O16" s="30">
        <v>15</v>
      </c>
      <c r="P16" s="30">
        <v>15</v>
      </c>
      <c r="Q16" s="30">
        <v>15</v>
      </c>
      <c r="R16" s="30">
        <v>15</v>
      </c>
      <c r="S16" s="30">
        <v>20</v>
      </c>
      <c r="T16" s="30">
        <v>25</v>
      </c>
      <c r="U16" s="30">
        <v>25</v>
      </c>
      <c r="V16" s="30">
        <v>25</v>
      </c>
      <c r="W16" s="30">
        <v>27.5</v>
      </c>
      <c r="X16" s="30">
        <v>30</v>
      </c>
      <c r="Y16" s="30">
        <v>37.5</v>
      </c>
      <c r="Z16" s="30">
        <v>40</v>
      </c>
      <c r="AA16" s="30">
        <v>50</v>
      </c>
      <c r="AB16" s="30">
        <v>50</v>
      </c>
      <c r="AC16" s="30">
        <v>50</v>
      </c>
      <c r="AD16" s="30">
        <v>50</v>
      </c>
      <c r="AE16" s="30">
        <v>50</v>
      </c>
      <c r="AF16" s="30">
        <v>47.5</v>
      </c>
      <c r="AG16" s="30">
        <v>50</v>
      </c>
      <c r="AH16" s="30">
        <v>50</v>
      </c>
      <c r="AI16" s="30">
        <v>50</v>
      </c>
      <c r="AJ16" s="30">
        <v>50</v>
      </c>
      <c r="AK16" s="30">
        <v>47.5</v>
      </c>
      <c r="AL16" s="24">
        <f>SUM(B16:AK16)</f>
        <v>905</v>
      </c>
    </row>
    <row r="17" spans="1:38" x14ac:dyDescent="0.25">
      <c r="A17" s="18" t="s">
        <v>42</v>
      </c>
      <c r="B17" s="30">
        <v>0</v>
      </c>
      <c r="C17" s="30">
        <v>0</v>
      </c>
      <c r="D17" s="30">
        <v>0</v>
      </c>
      <c r="E17" s="30">
        <v>4.079999999999999</v>
      </c>
      <c r="F17" s="30">
        <v>20.60000000000001</v>
      </c>
      <c r="G17" s="30">
        <v>23.400000000000023</v>
      </c>
      <c r="H17" s="30">
        <v>6.599999999999999</v>
      </c>
      <c r="I17" s="30">
        <v>0</v>
      </c>
      <c r="J17" s="30">
        <v>7.799999999999996</v>
      </c>
      <c r="K17" s="30">
        <v>21.92</v>
      </c>
      <c r="L17" s="30">
        <v>13.599999999999987</v>
      </c>
      <c r="M17" s="30">
        <v>1.9600000000000002</v>
      </c>
      <c r="N17" s="30">
        <v>0</v>
      </c>
      <c r="O17" s="30">
        <v>9.879999999999995</v>
      </c>
      <c r="P17" s="30">
        <v>31.12</v>
      </c>
      <c r="Q17" s="30">
        <v>37.04000000000003</v>
      </c>
      <c r="R17" s="30">
        <v>53.960000000000036</v>
      </c>
      <c r="S17" s="30">
        <v>44.12000000000004</v>
      </c>
      <c r="T17" s="30">
        <v>21.040000000000003</v>
      </c>
      <c r="U17" s="30">
        <v>22.280000000000012</v>
      </c>
      <c r="V17" s="30">
        <v>42.76000000000002</v>
      </c>
      <c r="W17" s="30">
        <v>83.80000000000004</v>
      </c>
      <c r="X17" s="30">
        <v>58.12000000000002</v>
      </c>
      <c r="Y17" s="30">
        <v>23.040000000000003</v>
      </c>
      <c r="Z17" s="30">
        <v>29.999999999999996</v>
      </c>
      <c r="AA17" s="30">
        <v>87.36000000000004</v>
      </c>
      <c r="AB17" s="30">
        <v>162.6800000000001</v>
      </c>
      <c r="AC17" s="30">
        <v>119.16000000000001</v>
      </c>
      <c r="AD17" s="30">
        <v>68.16000000000005</v>
      </c>
      <c r="AE17" s="30">
        <v>76.56000000000006</v>
      </c>
      <c r="AF17" s="30">
        <v>105.20000000000006</v>
      </c>
      <c r="AG17" s="30">
        <v>148.40000000000003</v>
      </c>
      <c r="AH17" s="30">
        <v>107.4000000000001</v>
      </c>
      <c r="AI17" s="30">
        <v>64.00000000000004</v>
      </c>
      <c r="AJ17" s="30">
        <v>61.60000000000003</v>
      </c>
      <c r="AK17" s="30">
        <v>92.68000000000006</v>
      </c>
      <c r="AL17" s="24">
        <f>SUM(B17:AK17)</f>
        <v>1650.3200000000008</v>
      </c>
    </row>
    <row r="18" spans="1:38" x14ac:dyDescent="0.25">
      <c r="A18" s="18" t="s">
        <v>43</v>
      </c>
      <c r="B18" s="30">
        <v>580</v>
      </c>
      <c r="C18" s="30">
        <v>580</v>
      </c>
      <c r="D18" s="30">
        <v>580</v>
      </c>
      <c r="E18" s="30">
        <v>580</v>
      </c>
      <c r="F18" s="30">
        <v>580</v>
      </c>
      <c r="G18" s="30">
        <v>580</v>
      </c>
      <c r="H18" s="30">
        <v>580</v>
      </c>
      <c r="I18" s="30">
        <v>580</v>
      </c>
      <c r="J18" s="30">
        <v>580</v>
      </c>
      <c r="K18" s="30">
        <v>580</v>
      </c>
      <c r="L18" s="30">
        <v>580</v>
      </c>
      <c r="M18" s="30">
        <v>580</v>
      </c>
      <c r="N18" s="30">
        <v>580</v>
      </c>
      <c r="O18" s="30">
        <v>580</v>
      </c>
      <c r="P18" s="30">
        <v>580</v>
      </c>
      <c r="Q18" s="30">
        <v>580</v>
      </c>
      <c r="R18" s="30">
        <v>580</v>
      </c>
      <c r="S18" s="30">
        <v>580</v>
      </c>
      <c r="T18" s="30">
        <v>580</v>
      </c>
      <c r="U18" s="30">
        <v>580</v>
      </c>
      <c r="V18" s="30">
        <v>580</v>
      </c>
      <c r="W18" s="30">
        <v>580</v>
      </c>
      <c r="X18" s="30">
        <v>580</v>
      </c>
      <c r="Y18" s="30">
        <v>580</v>
      </c>
      <c r="Z18" s="30">
        <v>580</v>
      </c>
      <c r="AA18" s="30">
        <v>580</v>
      </c>
      <c r="AB18" s="30">
        <v>580</v>
      </c>
      <c r="AC18" s="30">
        <v>580</v>
      </c>
      <c r="AD18" s="30">
        <v>580</v>
      </c>
      <c r="AE18" s="30">
        <v>580</v>
      </c>
      <c r="AF18" s="30">
        <v>580</v>
      </c>
      <c r="AG18" s="30">
        <v>580</v>
      </c>
      <c r="AH18" s="30">
        <v>580</v>
      </c>
      <c r="AI18" s="30">
        <v>580</v>
      </c>
      <c r="AJ18" s="30">
        <v>580</v>
      </c>
      <c r="AK18" s="30">
        <v>580</v>
      </c>
      <c r="AL18" s="24">
        <f>SUM(B18:AK18)</f>
        <v>20880</v>
      </c>
    </row>
    <row r="19" spans="1:38" x14ac:dyDescent="0.25">
      <c r="A19" s="18" t="s">
        <v>44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4</v>
      </c>
      <c r="K19" s="30">
        <v>48</v>
      </c>
      <c r="L19" s="30">
        <v>24</v>
      </c>
      <c r="M19" s="30">
        <v>0</v>
      </c>
      <c r="N19" s="30">
        <v>0</v>
      </c>
      <c r="O19" s="30">
        <v>20</v>
      </c>
      <c r="P19" s="30">
        <v>36</v>
      </c>
      <c r="Q19" s="30">
        <v>4</v>
      </c>
      <c r="R19" s="30">
        <v>0</v>
      </c>
      <c r="S19" s="30">
        <v>0</v>
      </c>
      <c r="T19" s="30">
        <v>16</v>
      </c>
      <c r="U19" s="30">
        <v>64</v>
      </c>
      <c r="V19" s="30">
        <v>72</v>
      </c>
      <c r="W19" s="30">
        <v>72</v>
      </c>
      <c r="X19" s="30">
        <v>40</v>
      </c>
      <c r="Y19" s="30">
        <v>24</v>
      </c>
      <c r="Z19" s="30">
        <v>36</v>
      </c>
      <c r="AA19" s="30">
        <v>84</v>
      </c>
      <c r="AB19" s="30">
        <v>140</v>
      </c>
      <c r="AC19" s="30">
        <v>60</v>
      </c>
      <c r="AD19" s="30">
        <v>20</v>
      </c>
      <c r="AE19" s="30">
        <v>72</v>
      </c>
      <c r="AF19" s="30">
        <v>200</v>
      </c>
      <c r="AG19" s="30">
        <v>260</v>
      </c>
      <c r="AH19" s="30">
        <v>160</v>
      </c>
      <c r="AI19" s="30">
        <v>100</v>
      </c>
      <c r="AJ19" s="30">
        <v>152</v>
      </c>
      <c r="AK19" s="30">
        <v>176</v>
      </c>
      <c r="AL19" s="24">
        <f>SUM(B19:AK19)</f>
        <v>1884</v>
      </c>
    </row>
    <row r="20" spans="1:38" x14ac:dyDescent="0.25">
      <c r="A20" s="18" t="s">
        <v>45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24">
        <f>SUM(B20:AK20)</f>
        <v>0</v>
      </c>
    </row>
    <row r="21" spans="1:38" x14ac:dyDescent="0.25">
      <c r="A21" s="18" t="s">
        <v>46</v>
      </c>
      <c r="B21" s="30">
        <v>35.58639999999999</v>
      </c>
      <c r="C21" s="30">
        <v>34.97319999999999</v>
      </c>
      <c r="D21" s="30">
        <v>35.58639999999999</v>
      </c>
      <c r="E21" s="30">
        <v>36.769000000000005</v>
      </c>
      <c r="F21" s="30">
        <v>43.76354890643638</v>
      </c>
      <c r="G21" s="30">
        <v>54.26696004378584</v>
      </c>
      <c r="H21" s="30">
        <v>60.936757201313696</v>
      </c>
      <c r="I21" s="30">
        <v>71.08063004179793</v>
      </c>
      <c r="J21" s="30">
        <v>79.96788022221668</v>
      </c>
      <c r="K21" s="30">
        <v>84.24072141173737</v>
      </c>
      <c r="L21" s="30">
        <v>66.50740981852222</v>
      </c>
      <c r="M21" s="30">
        <v>68.14732675246002</v>
      </c>
      <c r="N21" s="30">
        <v>75.55610572848083</v>
      </c>
      <c r="O21" s="30">
        <v>79.18706821033565</v>
      </c>
      <c r="P21" s="30">
        <v>77.55992327409821</v>
      </c>
      <c r="Q21" s="30">
        <v>79.32001956293585</v>
      </c>
      <c r="R21" s="30">
        <v>106.92491618151848</v>
      </c>
      <c r="S21" s="30">
        <v>135.21462604018416</v>
      </c>
      <c r="T21" s="30">
        <v>168.76070486994124</v>
      </c>
      <c r="U21" s="30">
        <v>179.24336263649988</v>
      </c>
      <c r="V21" s="30">
        <v>174.7667843462863</v>
      </c>
      <c r="W21" s="30">
        <v>188.09770688387488</v>
      </c>
      <c r="X21" s="30">
        <v>176.4882999443214</v>
      </c>
      <c r="Y21" s="30">
        <v>205.15762743623355</v>
      </c>
      <c r="Z21" s="30">
        <v>230.18057565863415</v>
      </c>
      <c r="AA21" s="30">
        <v>235.35471248779936</v>
      </c>
      <c r="AB21" s="30">
        <v>262.24803235462656</v>
      </c>
      <c r="AC21" s="30">
        <v>265.670543027219</v>
      </c>
      <c r="AD21" s="30">
        <v>333.1822747108986</v>
      </c>
      <c r="AE21" s="30">
        <v>396.18678035803254</v>
      </c>
      <c r="AF21" s="30">
        <v>435.09675663239284</v>
      </c>
      <c r="AG21" s="30">
        <v>396.61082687570956</v>
      </c>
      <c r="AH21" s="30">
        <v>348.3406181367192</v>
      </c>
      <c r="AI21" s="30">
        <v>381.85884632883557</v>
      </c>
      <c r="AJ21" s="30">
        <v>381.0499298210459</v>
      </c>
      <c r="AK21" s="30">
        <v>387.96559836926644</v>
      </c>
      <c r="AL21" s="24">
        <f>SUM(B21:AK21)</f>
        <v>6371.84887427416</v>
      </c>
    </row>
    <row r="22" spans="1:38" x14ac:dyDescent="0.25">
      <c r="A22" s="18" t="s">
        <v>47</v>
      </c>
      <c r="B22" s="30">
        <v>8000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24">
        <f>SUM(B22:AK22)</f>
        <v>8000</v>
      </c>
    </row>
    <row r="23" spans="1:38" x14ac:dyDescent="0.25">
      <c r="A23" s="31" t="s">
        <v>6</v>
      </c>
      <c r="B23" s="32">
        <f>SUM(B14:B22)</f>
        <v>8747.3144</v>
      </c>
      <c r="C23" s="32">
        <f>SUM(C14:C22)</f>
        <v>734.4372</v>
      </c>
      <c r="D23" s="32">
        <f>SUM(D14:D22)</f>
        <v>747.3143999999999</v>
      </c>
      <c r="E23" s="32">
        <f>SUM(E14:E22)</f>
        <v>772.149</v>
      </c>
      <c r="F23" s="32">
        <f>SUM(F14:F22)</f>
        <v>919.034527035164</v>
      </c>
      <c r="G23" s="32">
        <f>SUM(G14:G22)</f>
        <v>1139.6061609195021</v>
      </c>
      <c r="H23" s="32">
        <f>SUM(H14:H22)</f>
        <v>1279.671901227587</v>
      </c>
      <c r="I23" s="32">
        <f>SUM(I14:I22)</f>
        <v>1492.6932308777566</v>
      </c>
      <c r="J23" s="32">
        <f>SUM(J14:J22)</f>
        <v>1679.3254846665502</v>
      </c>
      <c r="K23" s="32">
        <f>SUM(K14:K22)</f>
        <v>1769.0551496464848</v>
      </c>
      <c r="L23" s="32">
        <f>SUM(L14:L22)</f>
        <v>1396.6556061889673</v>
      </c>
      <c r="M23" s="32">
        <f>SUM(M14:M22)</f>
        <v>1431.0938618016603</v>
      </c>
      <c r="N23" s="32">
        <f>SUM(N14:N22)</f>
        <v>1586.6782202980974</v>
      </c>
      <c r="O23" s="32">
        <f>SUM(O14:O22)</f>
        <v>1662.9284324170485</v>
      </c>
      <c r="P23" s="32">
        <f>SUM(P14:P22)</f>
        <v>1628.7583887560627</v>
      </c>
      <c r="Q23" s="32">
        <f>SUM(Q14:Q22)</f>
        <v>1665.720410821653</v>
      </c>
      <c r="R23" s="32">
        <f>SUM(R14:R22)</f>
        <v>2245.4232398118875</v>
      </c>
      <c r="S23" s="32">
        <f>SUM(S14:S22)</f>
        <v>2839.5071468438673</v>
      </c>
      <c r="T23" s="32">
        <f>SUM(T14:T22)</f>
        <v>3543.9748022687663</v>
      </c>
      <c r="U23" s="32">
        <f>SUM(U14:U22)</f>
        <v>3764.110615366497</v>
      </c>
      <c r="V23" s="32">
        <f>SUM(V14:V22)</f>
        <v>3670.1024712720123</v>
      </c>
      <c r="W23" s="32">
        <f>SUM(W14:W22)</f>
        <v>3950.051844561373</v>
      </c>
      <c r="X23" s="32">
        <f>SUM(X14:X22)</f>
        <v>3706.2542988307487</v>
      </c>
      <c r="Y23" s="32">
        <f>SUM(Y14:Y22)</f>
        <v>4308.310176160903</v>
      </c>
      <c r="Z23" s="32">
        <f>SUM(Z14:Z22)</f>
        <v>4833.792088831317</v>
      </c>
      <c r="AA23" s="32">
        <f>SUM(AA14:AA22)</f>
        <v>4942.448962243787</v>
      </c>
      <c r="AB23" s="32">
        <f>SUM(AB14:AB22)</f>
        <v>5507.20867944716</v>
      </c>
      <c r="AC23" s="32">
        <f>SUM(AC14:AC22)</f>
        <v>5579.081403571598</v>
      </c>
      <c r="AD23" s="32">
        <f>SUM(AD14:AD22)</f>
        <v>6996.82776892887</v>
      </c>
      <c r="AE23" s="32">
        <f>SUM(AE14:AE22)</f>
        <v>8319.922387518684</v>
      </c>
      <c r="AF23" s="32">
        <f>SUM(AF14:AF22)</f>
        <v>9137.03188928025</v>
      </c>
      <c r="AG23" s="32">
        <f>SUM(AG14:AG22)</f>
        <v>8328.827364389901</v>
      </c>
      <c r="AH23" s="32">
        <f>SUM(AH14:AH22)</f>
        <v>7315.152980871102</v>
      </c>
      <c r="AI23" s="32">
        <f>SUM(AI14:AI22)</f>
        <v>8019.035772905546</v>
      </c>
      <c r="AJ23" s="32">
        <f>SUM(AJ14:AJ22)</f>
        <v>8002.048526241967</v>
      </c>
      <c r="AK23" s="32">
        <f>SUM(AK14:AK22)</f>
        <v>8147.277565754598</v>
      </c>
      <c r="AL23" s="33">
        <f>SUM(B23:AK23)</f>
        <v>141808.82635975734</v>
      </c>
    </row>
    <row r="24" spans="2:38" x14ac:dyDescent="0.25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</row>
    <row r="25" spans="1:38" x14ac:dyDescent="0.25">
      <c r="A25" s="35" t="s">
        <v>15</v>
      </c>
      <c r="B25" s="36">
        <f>B11-B23</f>
        <v>-8747.3144</v>
      </c>
      <c r="C25" s="36">
        <f>C11-C23</f>
        <v>-734.4372</v>
      </c>
      <c r="D25" s="36">
        <f>D11-D23</f>
        <v>-747.3143999999999</v>
      </c>
      <c r="E25" s="36">
        <f>E11-E23</f>
        <v>-772.149</v>
      </c>
      <c r="F25" s="36">
        <f>F11-F23</f>
        <v>-919.034527035164</v>
      </c>
      <c r="G25" s="36">
        <f>G11-G23</f>
        <v>-1139.6061609195021</v>
      </c>
      <c r="H25" s="36">
        <f>H11-H23</f>
        <v>-1279.671901227587</v>
      </c>
      <c r="I25" s="36">
        <f>I11-I23</f>
        <v>-1492.6932308777566</v>
      </c>
      <c r="J25" s="36">
        <f>J11-J23</f>
        <v>-1326.9153770843075</v>
      </c>
      <c r="K25" s="36">
        <f>K11-K23</f>
        <v>2452.9472551612607</v>
      </c>
      <c r="L25" s="36">
        <f>L11-L23</f>
        <v>712.0794327870876</v>
      </c>
      <c r="M25" s="36">
        <f>M11-M23</f>
        <v>-1431.0938618016603</v>
      </c>
      <c r="N25" s="36">
        <f>N11-N23</f>
        <v>-1586.6782202980974</v>
      </c>
      <c r="O25" s="36">
        <f>O11-O23</f>
        <v>94.82701626273297</v>
      </c>
      <c r="P25" s="36">
        <f>P11-P23</f>
        <v>1533.8625509229096</v>
      </c>
      <c r="Q25" s="36">
        <f>Q11-Q23</f>
        <v>-1314.1590099200193</v>
      </c>
      <c r="R25" s="36">
        <f>R11-R23</f>
        <v>-2245.4232398118875</v>
      </c>
      <c r="S25" s="36">
        <f>S11-S23</f>
        <v>-2839.5071468438673</v>
      </c>
      <c r="T25" s="36">
        <f>T11-T23</f>
        <v>-2140.293938285234</v>
      </c>
      <c r="U25" s="36">
        <f>U11-U23</f>
        <v>1852.9865031536556</v>
      </c>
      <c r="V25" s="36">
        <f>V11-V23</f>
        <v>2653.0393177688043</v>
      </c>
      <c r="W25" s="36">
        <f>W11-W23</f>
        <v>2376.265586851759</v>
      </c>
      <c r="X25" s="36">
        <f>X11-X23</f>
        <v>-188.37037033135357</v>
      </c>
      <c r="Y25" s="36">
        <f>Y11-Y23</f>
        <v>-2201.0388007233782</v>
      </c>
      <c r="Z25" s="36">
        <f>Z11-Z23</f>
        <v>-1345.3350929265052</v>
      </c>
      <c r="AA25" s="36">
        <f>AA11-AA23</f>
        <v>2759.3379299412254</v>
      </c>
      <c r="AB25" s="36">
        <f>AB11-AB23</f>
        <v>7118.746114349886</v>
      </c>
      <c r="AC25" s="36">
        <f>AC11-AC23</f>
        <v>332.71398205516743</v>
      </c>
      <c r="AD25" s="36">
        <f>AD11-AD23</f>
        <v>-4601.851040804724</v>
      </c>
      <c r="AE25" s="36">
        <f>AE11-AE23</f>
        <v>-1793.2905761808615</v>
      </c>
      <c r="AF25" s="36">
        <f>AF11-AF23</f>
        <v>8955.607892018335</v>
      </c>
      <c r="AG25" s="36">
        <f>AG11-AG23</f>
        <v>14836.382107988506</v>
      </c>
      <c r="AH25" s="36">
        <f>AH11-AH23</f>
        <v>7390.202930612624</v>
      </c>
      <c r="AI25" s="36">
        <f>AI11-AI23</f>
        <v>1411.1787530240535</v>
      </c>
      <c r="AJ25" s="36">
        <f>AJ11-AJ23</f>
        <v>5358.720618280479</v>
      </c>
      <c r="AK25" s="36">
        <f>AK11-AK23</f>
        <v>7311.358285039779</v>
      </c>
      <c r="AL25" s="37">
        <f>SUM(B25:AK25)</f>
        <v>28304.078781146367</v>
      </c>
    </row>
    <row r="26" spans="1:38" x14ac:dyDescent="0.25">
      <c r="A26" s="35" t="s">
        <v>48</v>
      </c>
      <c r="B26" s="36">
        <f>B4+B25</f>
        <v>-8747.314400000008</v>
      </c>
      <c r="C26" s="36">
        <f>C4+C25</f>
        <v>-9481.751600000016</v>
      </c>
      <c r="D26" s="36">
        <f>D4+D25</f>
        <v>-10229.066000000024</v>
      </c>
      <c r="E26" s="36">
        <f>E4+E25</f>
        <v>-11001.21500000003</v>
      </c>
      <c r="F26" s="36">
        <f>F4+F25</f>
        <v>-11920.249527035188</v>
      </c>
      <c r="G26" s="36">
        <f>G4+G25</f>
        <v>-13059.855687954694</v>
      </c>
      <c r="H26" s="36">
        <f>H4+H25</f>
        <v>-14339.527589182284</v>
      </c>
      <c r="I26" s="36">
        <f>I4+I25</f>
        <v>-15832.220820060034</v>
      </c>
      <c r="J26" s="36">
        <f>J4+J25</f>
        <v>-17159.136197144333</v>
      </c>
      <c r="K26" s="36">
        <f>K4+K25</f>
        <v>-14706.18894198307</v>
      </c>
      <c r="L26" s="36">
        <f>L4+L25</f>
        <v>-13994.109509195985</v>
      </c>
      <c r="M26" s="36">
        <f>M4+M25</f>
        <v>-15425.203370997651</v>
      </c>
      <c r="N26" s="36">
        <f>N4+N25</f>
        <v>-17011.881591295754</v>
      </c>
      <c r="O26" s="36">
        <f>O4+O25</f>
        <v>-16917.054575033024</v>
      </c>
      <c r="P26" s="36">
        <f>P4+P25</f>
        <v>-15383.192024110114</v>
      </c>
      <c r="Q26" s="36">
        <f>Q4+Q25</f>
        <v>-16697.351034030144</v>
      </c>
      <c r="R26" s="36">
        <f>R4+R25</f>
        <v>-18942.774273842027</v>
      </c>
      <c r="S26" s="36">
        <f>S4+S25</f>
        <v>-21782.281420685882</v>
      </c>
      <c r="T26" s="36">
        <f>T4+T25</f>
        <v>-23922.575358971128</v>
      </c>
      <c r="U26" s="36">
        <f>U4+U25</f>
        <v>-22069.58885581748</v>
      </c>
      <c r="V26" s="36">
        <f>V4+V25</f>
        <v>-19416.549538048683</v>
      </c>
      <c r="W26" s="36">
        <f>W4+W25</f>
        <v>-17040.283951196918</v>
      </c>
      <c r="X26" s="36">
        <f>X4+X25</f>
        <v>-17228.654321528265</v>
      </c>
      <c r="Y26" s="36">
        <f>Y4+Y25</f>
        <v>-19429.69312225164</v>
      </c>
      <c r="Z26" s="36">
        <f>Z4+Z25</f>
        <v>-20775.028215178143</v>
      </c>
      <c r="AA26" s="36">
        <f>AA4+AA25</f>
        <v>-18015.69028523692</v>
      </c>
      <c r="AB26" s="36">
        <f>AB4+AB25</f>
        <v>-10896.944170887033</v>
      </c>
      <c r="AC26" s="36">
        <f>AC4+AC25</f>
        <v>-10564.230188831865</v>
      </c>
      <c r="AD26" s="36">
        <f>AD4+AD25</f>
        <v>-15166.081229636593</v>
      </c>
      <c r="AE26" s="36">
        <f>AE4+AE25</f>
        <v>-16959.371805817453</v>
      </c>
      <c r="AF26" s="36">
        <f>AF4+AF25</f>
        <v>-8003.763913799119</v>
      </c>
      <c r="AG26" s="36">
        <f>AG4+AG25</f>
        <v>6832.618194189381</v>
      </c>
      <c r="AH26" s="36">
        <f>AH4+AH25</f>
        <v>14222.821124802002</v>
      </c>
      <c r="AI26" s="36">
        <f>AI4+AI25</f>
        <v>15633.99987782605</v>
      </c>
      <c r="AJ26" s="36">
        <f>AJ4+AJ25</f>
        <v>20992.720496106544</v>
      </c>
      <c r="AK26" s="36">
        <f>AK4+AK25</f>
        <v>28304.078781146327</v>
      </c>
      <c r="AL26" s="37">
        <v>28304.078781146327</v>
      </c>
    </row>
    <row r="27" spans="1:38" x14ac:dyDescent="0.25">
      <c r="A27" s="38" t="s">
        <v>49</v>
      </c>
      <c r="B27" s="39">
        <f>MAX(0,-B26)</f>
        <v>8747.314400000008</v>
      </c>
      <c r="C27" s="39">
        <f>MAX(0,-C26)</f>
        <v>9481.751600000016</v>
      </c>
      <c r="D27" s="39">
        <f>MAX(0,-D26)</f>
        <v>10229.066000000024</v>
      </c>
      <c r="E27" s="39">
        <f>MAX(0,-E26)</f>
        <v>11001.21500000003</v>
      </c>
      <c r="F27" s="39">
        <f>MAX(0,-F26)</f>
        <v>11920.249527035188</v>
      </c>
      <c r="G27" s="39">
        <f>MAX(0,-G26)</f>
        <v>13059.855687954694</v>
      </c>
      <c r="H27" s="39">
        <f>MAX(0,-H26)</f>
        <v>14339.527589182284</v>
      </c>
      <c r="I27" s="39">
        <f>MAX(0,-I26)</f>
        <v>15832.220820060034</v>
      </c>
      <c r="J27" s="39">
        <f>MAX(0,-J26)</f>
        <v>17159.136197144333</v>
      </c>
      <c r="K27" s="39">
        <f>MAX(0,-K26)</f>
        <v>14706.18894198307</v>
      </c>
      <c r="L27" s="39">
        <f>MAX(0,-L26)</f>
        <v>13994.109509195985</v>
      </c>
      <c r="M27" s="39">
        <f>MAX(0,-M26)</f>
        <v>15425.203370997651</v>
      </c>
      <c r="N27" s="39">
        <f>MAX(0,-N26)</f>
        <v>17011.881591295754</v>
      </c>
      <c r="O27" s="39">
        <f>MAX(0,-O26)</f>
        <v>16917.054575033024</v>
      </c>
      <c r="P27" s="39">
        <f>MAX(0,-P26)</f>
        <v>15383.192024110114</v>
      </c>
      <c r="Q27" s="39">
        <f>MAX(0,-Q26)</f>
        <v>16697.351034030144</v>
      </c>
      <c r="R27" s="39">
        <f>MAX(0,-R26)</f>
        <v>18942.774273842027</v>
      </c>
      <c r="S27" s="39">
        <f>MAX(0,-S26)</f>
        <v>21782.281420685882</v>
      </c>
      <c r="T27" s="39">
        <f>MAX(0,-T26)</f>
        <v>23922.575358971128</v>
      </c>
      <c r="U27" s="39">
        <f>MAX(0,-U26)</f>
        <v>22069.58885581748</v>
      </c>
      <c r="V27" s="39">
        <f>MAX(0,-V26)</f>
        <v>19416.549538048683</v>
      </c>
      <c r="W27" s="39">
        <f>MAX(0,-W26)</f>
        <v>17040.283951196918</v>
      </c>
      <c r="X27" s="39">
        <f>MAX(0,-X26)</f>
        <v>17228.654321528265</v>
      </c>
      <c r="Y27" s="39">
        <f>MAX(0,-Y26)</f>
        <v>19429.69312225164</v>
      </c>
      <c r="Z27" s="39">
        <f>MAX(0,-Z26)</f>
        <v>20775.028215178143</v>
      </c>
      <c r="AA27" s="39">
        <f>MAX(0,-AA26)</f>
        <v>18015.69028523692</v>
      </c>
      <c r="AB27" s="39">
        <f>MAX(0,-AB26)</f>
        <v>10896.944170887033</v>
      </c>
      <c r="AC27" s="39">
        <f>MAX(0,-AC26)</f>
        <v>10564.230188831865</v>
      </c>
      <c r="AD27" s="39">
        <f>MAX(0,-AD26)</f>
        <v>15166.081229636593</v>
      </c>
      <c r="AE27" s="39">
        <f>MAX(0,-AE26)</f>
        <v>16959.371805817453</v>
      </c>
      <c r="AF27" s="39">
        <f>MAX(0,-AF26)</f>
        <v>8003.763913799119</v>
      </c>
      <c r="AG27" s="39">
        <f>MAX(0,-AG26)</f>
        <v>0</v>
      </c>
      <c r="AH27" s="39">
        <f>MAX(0,-AH26)</f>
        <v>0</v>
      </c>
      <c r="AI27" s="39">
        <f>MAX(0,-AI26)</f>
        <v>0</v>
      </c>
      <c r="AJ27" s="39">
        <f>MAX(0,-AJ26)</f>
        <v>0</v>
      </c>
      <c r="AK27" s="39">
        <f>MAX(0,-AK26)</f>
        <v>0</v>
      </c>
      <c r="AL27" s="37">
        <f>MAX(B27:AK27)</f>
        <v>23922.575358971128</v>
      </c>
    </row>
  </sheetData>
  <mergeCells count="2">
    <mergeCell ref="A2:AL2"/>
    <mergeCell ref="A3:AL3"/>
  </mergeCells>
  <pageMargins left="0.25" right="0.25" top="0.45" bottom="0.45" header="0.2" footer="0.2"/>
  <pageSetup paperSize="9" orientation="landscape" horizontalDpi="4294967295" verticalDpi="4294967295" scale="100" fitToWidth="1" fitToHeight="0"/>
  <headerFooter>
    <oddFooter>&amp;LDetailed cashflow&amp;RPage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B8DEF"/>
    <pageSetUpPr fitToPage="1"/>
  </sheetPr>
  <dimension ref="A2:P42"/>
  <sheetViews>
    <sheetView workbookViewId="0" showGridLines="0"/>
  </sheetViews>
  <sheetFormatPr defaultRowHeight="15" outlineLevelRow="0" outlineLevelCol="0" x14ac:dyDescent="55"/>
  <cols>
    <col min="1" max="1" width="13" customWidth="1"/>
    <col min="2" max="16" width="14" customWidth="1"/>
  </cols>
  <sheetData>
    <row r="2" ht="24" customHeight="1" spans="1:16" x14ac:dyDescent="0.25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8" customHeight="1" spans="1:16" x14ac:dyDescent="0.25">
      <c r="A3" s="2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3" customHeight="1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ht="22" customHeight="1" spans="1:16" x14ac:dyDescent="0.25">
      <c r="A6" s="9" t="s">
        <v>52</v>
      </c>
      <c r="B6" s="10" t="s">
        <v>53</v>
      </c>
      <c r="C6" s="10" t="s">
        <v>54</v>
      </c>
      <c r="D6" s="10" t="s">
        <v>55</v>
      </c>
      <c r="E6" s="10" t="s">
        <v>9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62</v>
      </c>
      <c r="M6" s="10" t="s">
        <v>63</v>
      </c>
      <c r="N6" s="10" t="s">
        <v>64</v>
      </c>
      <c r="O6" s="10" t="s">
        <v>65</v>
      </c>
      <c r="P6" s="10" t="s">
        <v>66</v>
      </c>
    </row>
    <row r="7" spans="1:16" x14ac:dyDescent="0.25">
      <c r="A7" s="40">
        <v>46387.91666666667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2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226.30000000000013</v>
      </c>
      <c r="P7" s="13">
        <v>0</v>
      </c>
    </row>
    <row r="8" spans="1:16" x14ac:dyDescent="0.25">
      <c r="A8" s="40">
        <v>46418.91666666667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2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204.4000000000001</v>
      </c>
      <c r="P8" s="13">
        <v>0</v>
      </c>
    </row>
    <row r="9" spans="1:16" x14ac:dyDescent="0.25">
      <c r="A9" s="40">
        <v>46446.91666666667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2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226.30000000000013</v>
      </c>
      <c r="P9" s="13">
        <v>0</v>
      </c>
    </row>
    <row r="10" spans="1:16" x14ac:dyDescent="0.25">
      <c r="A10" s="40">
        <v>46477.91666666667</v>
      </c>
      <c r="B10" s="13">
        <v>1</v>
      </c>
      <c r="C10" s="13">
        <v>11</v>
      </c>
      <c r="D10" s="13">
        <v>0</v>
      </c>
      <c r="E10" s="13">
        <v>0</v>
      </c>
      <c r="F10" s="13">
        <v>0</v>
      </c>
      <c r="G10" s="13">
        <v>1</v>
      </c>
      <c r="H10" s="13">
        <v>2</v>
      </c>
      <c r="I10" s="13">
        <v>0</v>
      </c>
      <c r="J10" s="13">
        <v>10</v>
      </c>
      <c r="K10" s="13">
        <v>0</v>
      </c>
      <c r="L10" s="13">
        <v>0</v>
      </c>
      <c r="M10" s="13">
        <v>0</v>
      </c>
      <c r="N10" s="13">
        <v>10</v>
      </c>
      <c r="O10" s="13">
        <v>255.00000000000006</v>
      </c>
      <c r="P10" s="13">
        <v>0</v>
      </c>
    </row>
    <row r="11" spans="1:16" x14ac:dyDescent="0.25">
      <c r="A11" s="40">
        <v>46507.91666666667</v>
      </c>
      <c r="B11" s="13">
        <v>1</v>
      </c>
      <c r="C11" s="13">
        <v>16</v>
      </c>
      <c r="D11" s="13">
        <v>9</v>
      </c>
      <c r="E11" s="13">
        <v>0</v>
      </c>
      <c r="F11" s="13">
        <v>0</v>
      </c>
      <c r="G11" s="13">
        <v>2</v>
      </c>
      <c r="H11" s="13">
        <v>2</v>
      </c>
      <c r="I11" s="13">
        <v>0</v>
      </c>
      <c r="J11" s="13">
        <v>15</v>
      </c>
      <c r="K11" s="13">
        <v>9</v>
      </c>
      <c r="L11" s="13">
        <v>0</v>
      </c>
      <c r="M11" s="13">
        <v>0</v>
      </c>
      <c r="N11" s="13">
        <v>24</v>
      </c>
      <c r="O11" s="13">
        <v>346.42781219348416</v>
      </c>
      <c r="P11" s="13">
        <v>83.05794602996573</v>
      </c>
    </row>
    <row r="12" spans="1:16" x14ac:dyDescent="0.25">
      <c r="A12" s="40">
        <v>46538.91666666667</v>
      </c>
      <c r="B12" s="13">
        <v>0</v>
      </c>
      <c r="C12" s="13">
        <v>0</v>
      </c>
      <c r="D12" s="13">
        <v>15</v>
      </c>
      <c r="E12" s="13">
        <v>0</v>
      </c>
      <c r="F12" s="13">
        <v>0</v>
      </c>
      <c r="G12" s="13">
        <v>0</v>
      </c>
      <c r="H12" s="13">
        <v>2</v>
      </c>
      <c r="I12" s="13">
        <v>0</v>
      </c>
      <c r="J12" s="13">
        <v>0</v>
      </c>
      <c r="K12" s="13">
        <v>24</v>
      </c>
      <c r="L12" s="13">
        <v>0</v>
      </c>
      <c r="M12" s="13">
        <v>0</v>
      </c>
      <c r="N12" s="13">
        <v>24</v>
      </c>
      <c r="O12" s="13">
        <v>270.60055177644176</v>
      </c>
      <c r="P12" s="13">
        <v>391.4454292366308</v>
      </c>
    </row>
    <row r="13" spans="1:16" x14ac:dyDescent="0.25">
      <c r="A13" s="40">
        <v>46568.91666666667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2</v>
      </c>
      <c r="I13" s="13">
        <v>0</v>
      </c>
      <c r="J13" s="13">
        <v>0</v>
      </c>
      <c r="K13" s="13">
        <v>9</v>
      </c>
      <c r="L13" s="13">
        <v>15</v>
      </c>
      <c r="M13" s="13">
        <v>0</v>
      </c>
      <c r="N13" s="13">
        <v>24</v>
      </c>
      <c r="O13" s="13">
        <v>232.6326427689233</v>
      </c>
      <c r="P13" s="13">
        <v>782.8148341929241</v>
      </c>
    </row>
    <row r="14" spans="1:16" x14ac:dyDescent="0.25">
      <c r="A14" s="40">
        <v>46599.91666666667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2</v>
      </c>
      <c r="I14" s="13">
        <v>0</v>
      </c>
      <c r="J14" s="13">
        <v>0</v>
      </c>
      <c r="K14" s="13">
        <v>0</v>
      </c>
      <c r="L14" s="13">
        <v>15</v>
      </c>
      <c r="M14" s="13">
        <v>8</v>
      </c>
      <c r="N14" s="13">
        <v>23</v>
      </c>
      <c r="O14" s="13">
        <v>232.6326427689233</v>
      </c>
      <c r="P14" s="13">
        <v>1270.2285872298507</v>
      </c>
    </row>
    <row r="15" spans="1:16" x14ac:dyDescent="0.25">
      <c r="A15" s="40">
        <v>46630.91666666667</v>
      </c>
      <c r="B15" s="13">
        <v>1</v>
      </c>
      <c r="C15" s="13">
        <v>13</v>
      </c>
      <c r="D15" s="13">
        <v>0</v>
      </c>
      <c r="E15" s="13">
        <v>1</v>
      </c>
      <c r="F15" s="13">
        <v>100.68860216635507</v>
      </c>
      <c r="G15" s="13">
        <v>0</v>
      </c>
      <c r="H15" s="13">
        <v>2</v>
      </c>
      <c r="I15" s="13">
        <v>0</v>
      </c>
      <c r="J15" s="13">
        <v>13</v>
      </c>
      <c r="K15" s="13">
        <v>0</v>
      </c>
      <c r="L15" s="13">
        <v>0</v>
      </c>
      <c r="M15" s="13">
        <v>22</v>
      </c>
      <c r="N15" s="13">
        <v>35</v>
      </c>
      <c r="O15" s="13">
        <v>281.4265004586481</v>
      </c>
      <c r="P15" s="13">
        <v>1588.3025520084338</v>
      </c>
    </row>
    <row r="16" spans="1:16" x14ac:dyDescent="0.25">
      <c r="A16" s="40">
        <v>46660.91666666667</v>
      </c>
      <c r="B16" s="13">
        <v>1</v>
      </c>
      <c r="C16" s="13">
        <v>8</v>
      </c>
      <c r="D16" s="13">
        <v>13</v>
      </c>
      <c r="E16" s="13">
        <v>12</v>
      </c>
      <c r="F16" s="13">
        <v>1206.2864013736416</v>
      </c>
      <c r="G16" s="13">
        <v>1</v>
      </c>
      <c r="H16" s="13">
        <v>2</v>
      </c>
      <c r="I16" s="13">
        <v>4</v>
      </c>
      <c r="J16" s="13">
        <v>7</v>
      </c>
      <c r="K16" s="13">
        <v>13</v>
      </c>
      <c r="L16" s="13">
        <v>0</v>
      </c>
      <c r="M16" s="13">
        <v>6</v>
      </c>
      <c r="N16" s="13">
        <v>30</v>
      </c>
      <c r="O16" s="13">
        <v>500.9079487796763</v>
      </c>
      <c r="P16" s="13">
        <v>1310.6734275575789</v>
      </c>
    </row>
    <row r="17" spans="1:16" x14ac:dyDescent="0.25">
      <c r="A17" s="40">
        <v>46691.91666666667</v>
      </c>
      <c r="B17" s="13">
        <v>0</v>
      </c>
      <c r="C17" s="13">
        <v>0</v>
      </c>
      <c r="D17" s="13">
        <v>7</v>
      </c>
      <c r="E17" s="13">
        <v>6</v>
      </c>
      <c r="F17" s="13">
        <v>602.4957254217301</v>
      </c>
      <c r="G17" s="13">
        <v>1</v>
      </c>
      <c r="H17" s="13">
        <v>2</v>
      </c>
      <c r="I17" s="13">
        <v>4</v>
      </c>
      <c r="J17" s="13">
        <v>0</v>
      </c>
      <c r="K17" s="13">
        <v>15</v>
      </c>
      <c r="L17" s="13">
        <v>4</v>
      </c>
      <c r="M17" s="13">
        <v>0</v>
      </c>
      <c r="N17" s="13">
        <v>23</v>
      </c>
      <c r="O17" s="13">
        <v>557.2747892489451</v>
      </c>
      <c r="P17" s="13">
        <v>586.6379896933408</v>
      </c>
    </row>
    <row r="18" spans="1:16" x14ac:dyDescent="0.25">
      <c r="A18" s="40">
        <v>46721.91666666667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4</v>
      </c>
      <c r="I18" s="13">
        <v>2</v>
      </c>
      <c r="J18" s="13">
        <v>0</v>
      </c>
      <c r="K18" s="13">
        <v>1</v>
      </c>
      <c r="L18" s="13">
        <v>18</v>
      </c>
      <c r="M18" s="13">
        <v>0</v>
      </c>
      <c r="N18" s="13">
        <v>21</v>
      </c>
      <c r="O18" s="13">
        <v>534.1854269844803</v>
      </c>
      <c r="P18" s="13">
        <v>807.103127592564</v>
      </c>
    </row>
    <row r="19" spans="1:16" x14ac:dyDescent="0.25">
      <c r="A19" s="40">
        <v>46752.91666666667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6</v>
      </c>
      <c r="I19" s="13">
        <v>0</v>
      </c>
      <c r="J19" s="13">
        <v>0</v>
      </c>
      <c r="K19" s="13">
        <v>0</v>
      </c>
      <c r="L19" s="13">
        <v>7</v>
      </c>
      <c r="M19" s="13">
        <v>12</v>
      </c>
      <c r="N19" s="13">
        <v>19</v>
      </c>
      <c r="O19" s="13">
        <v>481.7767016067555</v>
      </c>
      <c r="P19" s="13">
        <v>1203.5181737286703</v>
      </c>
    </row>
    <row r="20" spans="1:16" x14ac:dyDescent="0.25">
      <c r="A20" s="40">
        <v>46783.91666666667</v>
      </c>
      <c r="B20" s="13">
        <v>1</v>
      </c>
      <c r="C20" s="13">
        <v>13</v>
      </c>
      <c r="D20" s="13">
        <v>0</v>
      </c>
      <c r="E20" s="13">
        <v>5</v>
      </c>
      <c r="F20" s="13">
        <v>502.21584247993746</v>
      </c>
      <c r="G20" s="13">
        <v>0</v>
      </c>
      <c r="H20" s="13">
        <v>6</v>
      </c>
      <c r="I20" s="13">
        <v>2</v>
      </c>
      <c r="J20" s="13">
        <v>13</v>
      </c>
      <c r="K20" s="13">
        <v>0</v>
      </c>
      <c r="L20" s="13">
        <v>0</v>
      </c>
      <c r="M20" s="13">
        <v>12</v>
      </c>
      <c r="N20" s="13">
        <v>27</v>
      </c>
      <c r="O20" s="13">
        <v>518.7323742083313</v>
      </c>
      <c r="P20" s="13">
        <v>1263.7418127076746</v>
      </c>
    </row>
    <row r="21" spans="1:16" x14ac:dyDescent="0.25">
      <c r="A21" s="40">
        <v>46812.91666666667</v>
      </c>
      <c r="B21" s="13">
        <v>1</v>
      </c>
      <c r="C21" s="13">
        <v>18</v>
      </c>
      <c r="D21" s="13">
        <v>13</v>
      </c>
      <c r="E21" s="13">
        <v>9</v>
      </c>
      <c r="F21" s="13">
        <v>903.6059827654208</v>
      </c>
      <c r="G21" s="13">
        <v>2</v>
      </c>
      <c r="H21" s="13">
        <v>6</v>
      </c>
      <c r="I21" s="13">
        <v>3</v>
      </c>
      <c r="J21" s="13">
        <v>16</v>
      </c>
      <c r="K21" s="13">
        <v>13</v>
      </c>
      <c r="L21" s="13">
        <v>0</v>
      </c>
      <c r="M21" s="13">
        <v>2</v>
      </c>
      <c r="N21" s="13">
        <v>34</v>
      </c>
      <c r="O21" s="13">
        <v>760.3245549547751</v>
      </c>
      <c r="P21" s="13">
        <v>708.7004573909944</v>
      </c>
    </row>
    <row r="22" spans="1:16" x14ac:dyDescent="0.25">
      <c r="A22" s="40">
        <v>46843.91666666667</v>
      </c>
      <c r="B22" s="13">
        <v>1</v>
      </c>
      <c r="C22" s="13">
        <v>16</v>
      </c>
      <c r="D22" s="13">
        <v>16</v>
      </c>
      <c r="E22" s="13">
        <v>1</v>
      </c>
      <c r="F22" s="13">
        <v>100.44611454332392</v>
      </c>
      <c r="G22" s="13">
        <v>0</v>
      </c>
      <c r="H22" s="13">
        <v>6</v>
      </c>
      <c r="I22" s="13">
        <v>4</v>
      </c>
      <c r="J22" s="13">
        <v>16</v>
      </c>
      <c r="K22" s="13">
        <v>23</v>
      </c>
      <c r="L22" s="13">
        <v>6</v>
      </c>
      <c r="M22" s="13">
        <v>0</v>
      </c>
      <c r="N22" s="13">
        <v>49</v>
      </c>
      <c r="O22" s="13">
        <v>831.4178516018127</v>
      </c>
      <c r="P22" s="13">
        <v>643.770760826294</v>
      </c>
    </row>
    <row r="23" spans="1:16" x14ac:dyDescent="0.25">
      <c r="A23" s="40">
        <v>46873.91666666667</v>
      </c>
      <c r="B23" s="13">
        <v>3</v>
      </c>
      <c r="C23" s="13">
        <v>41</v>
      </c>
      <c r="D23" s="13">
        <v>29</v>
      </c>
      <c r="E23" s="13">
        <v>0</v>
      </c>
      <c r="F23" s="13">
        <v>0</v>
      </c>
      <c r="G23" s="13">
        <v>2</v>
      </c>
      <c r="H23" s="13">
        <v>8</v>
      </c>
      <c r="I23" s="13">
        <v>2</v>
      </c>
      <c r="J23" s="13">
        <v>26</v>
      </c>
      <c r="K23" s="13">
        <v>32</v>
      </c>
      <c r="L23" s="13">
        <v>26</v>
      </c>
      <c r="M23" s="13">
        <v>0</v>
      </c>
      <c r="N23" s="13">
        <v>86</v>
      </c>
      <c r="O23" s="13">
        <v>944.220926952315</v>
      </c>
      <c r="P23" s="13">
        <v>1420.6051094060895</v>
      </c>
    </row>
    <row r="24" spans="1:16" x14ac:dyDescent="0.25">
      <c r="A24" s="40">
        <v>46904.91666666667</v>
      </c>
      <c r="B24" s="13">
        <v>0</v>
      </c>
      <c r="C24" s="13">
        <v>0</v>
      </c>
      <c r="D24" s="13">
        <v>24</v>
      </c>
      <c r="E24" s="13">
        <v>0</v>
      </c>
      <c r="F24" s="13">
        <v>0</v>
      </c>
      <c r="G24" s="13">
        <v>2</v>
      </c>
      <c r="H24" s="13">
        <v>10</v>
      </c>
      <c r="I24" s="13">
        <v>0</v>
      </c>
      <c r="J24" s="13">
        <v>0</v>
      </c>
      <c r="K24" s="13">
        <v>38</v>
      </c>
      <c r="L24" s="13">
        <v>28</v>
      </c>
      <c r="M24" s="13">
        <v>16</v>
      </c>
      <c r="N24" s="13">
        <v>82</v>
      </c>
      <c r="O24" s="13">
        <v>772.5702166610456</v>
      </c>
      <c r="P24" s="13">
        <v>2644.9362768395017</v>
      </c>
    </row>
    <row r="25" spans="1:16" x14ac:dyDescent="0.25">
      <c r="A25" s="40">
        <v>46934.91666666667</v>
      </c>
      <c r="B25" s="13">
        <v>1</v>
      </c>
      <c r="C25" s="13">
        <v>13</v>
      </c>
      <c r="D25" s="13">
        <v>0</v>
      </c>
      <c r="E25" s="13">
        <v>4</v>
      </c>
      <c r="F25" s="13">
        <v>401.05167542386636</v>
      </c>
      <c r="G25" s="13">
        <v>3</v>
      </c>
      <c r="H25" s="13">
        <v>10</v>
      </c>
      <c r="I25" s="13">
        <v>2</v>
      </c>
      <c r="J25" s="13">
        <v>11</v>
      </c>
      <c r="K25" s="13">
        <v>12</v>
      </c>
      <c r="L25" s="13">
        <v>35</v>
      </c>
      <c r="M25" s="13">
        <v>28</v>
      </c>
      <c r="N25" s="13">
        <v>88</v>
      </c>
      <c r="O25" s="13">
        <v>827.3387039015942</v>
      </c>
      <c r="P25" s="13">
        <v>3960.381077837374</v>
      </c>
    </row>
    <row r="26" spans="1:16" x14ac:dyDescent="0.25">
      <c r="A26" s="40">
        <v>46965.91666666667</v>
      </c>
      <c r="B26" s="13">
        <v>1</v>
      </c>
      <c r="C26" s="13">
        <v>9</v>
      </c>
      <c r="D26" s="13">
        <v>11</v>
      </c>
      <c r="E26" s="13">
        <v>16</v>
      </c>
      <c r="F26" s="13">
        <v>1604.8848910057577</v>
      </c>
      <c r="G26" s="13">
        <v>2</v>
      </c>
      <c r="H26" s="13">
        <v>10</v>
      </c>
      <c r="I26" s="13">
        <v>4</v>
      </c>
      <c r="J26" s="13">
        <v>9</v>
      </c>
      <c r="K26" s="13">
        <v>11</v>
      </c>
      <c r="L26" s="13">
        <v>28</v>
      </c>
      <c r="M26" s="13">
        <v>27</v>
      </c>
      <c r="N26" s="13">
        <v>79</v>
      </c>
      <c r="O26" s="13">
        <v>1067.9135633643073</v>
      </c>
      <c r="P26" s="13">
        <v>4098.8241329268985</v>
      </c>
    </row>
    <row r="27" spans="1:16" x14ac:dyDescent="0.25">
      <c r="A27" s="40">
        <v>46996.91666666667</v>
      </c>
      <c r="B27" s="13">
        <v>5</v>
      </c>
      <c r="C27" s="13">
        <v>52</v>
      </c>
      <c r="D27" s="13">
        <v>9</v>
      </c>
      <c r="E27" s="13">
        <v>18</v>
      </c>
      <c r="F27" s="13">
        <v>1806.6119397259472</v>
      </c>
      <c r="G27" s="13">
        <v>5</v>
      </c>
      <c r="H27" s="13">
        <v>11</v>
      </c>
      <c r="I27" s="13">
        <v>5</v>
      </c>
      <c r="J27" s="13">
        <v>48</v>
      </c>
      <c r="K27" s="13">
        <v>12</v>
      </c>
      <c r="L27" s="13">
        <v>10</v>
      </c>
      <c r="M27" s="13">
        <v>32</v>
      </c>
      <c r="N27" s="13">
        <v>107</v>
      </c>
      <c r="O27" s="13">
        <v>1309.8032854292437</v>
      </c>
      <c r="P27" s="13">
        <v>3633.305750051971</v>
      </c>
    </row>
    <row r="28" spans="1:16" x14ac:dyDescent="0.25">
      <c r="A28" s="40">
        <v>47026.91666666667</v>
      </c>
      <c r="B28" s="13">
        <v>3</v>
      </c>
      <c r="C28" s="13">
        <v>38</v>
      </c>
      <c r="D28" s="13">
        <v>57</v>
      </c>
      <c r="E28" s="13">
        <v>18</v>
      </c>
      <c r="F28" s="13">
        <v>1807.5192661180376</v>
      </c>
      <c r="G28" s="13">
        <v>7</v>
      </c>
      <c r="H28" s="13">
        <v>12</v>
      </c>
      <c r="I28" s="13">
        <v>7</v>
      </c>
      <c r="J28" s="13">
        <v>23</v>
      </c>
      <c r="K28" s="13">
        <v>57</v>
      </c>
      <c r="L28" s="13">
        <v>19</v>
      </c>
      <c r="M28" s="13">
        <v>13</v>
      </c>
      <c r="N28" s="13">
        <v>119</v>
      </c>
      <c r="O28" s="13">
        <v>1640.5468076587783</v>
      </c>
      <c r="P28" s="13">
        <v>3456.8866738510383</v>
      </c>
    </row>
    <row r="29" spans="1:16" x14ac:dyDescent="0.25">
      <c r="A29" s="40">
        <v>47057.91666666667</v>
      </c>
      <c r="B29" s="13">
        <v>0</v>
      </c>
      <c r="C29" s="13">
        <v>0</v>
      </c>
      <c r="D29" s="13">
        <v>23</v>
      </c>
      <c r="E29" s="13">
        <v>10</v>
      </c>
      <c r="F29" s="13">
        <v>1005.1096938569701</v>
      </c>
      <c r="G29" s="13">
        <v>2</v>
      </c>
      <c r="H29" s="13">
        <v>15</v>
      </c>
      <c r="I29" s="13">
        <v>6</v>
      </c>
      <c r="J29" s="13">
        <v>0</v>
      </c>
      <c r="K29" s="13">
        <v>56</v>
      </c>
      <c r="L29" s="13">
        <v>29</v>
      </c>
      <c r="M29" s="13">
        <v>13</v>
      </c>
      <c r="N29" s="13">
        <v>104</v>
      </c>
      <c r="O29" s="13">
        <v>1500.6058354236231</v>
      </c>
      <c r="P29" s="13">
        <v>3145.783457082967</v>
      </c>
    </row>
    <row r="30" spans="1:16" x14ac:dyDescent="0.25">
      <c r="A30" s="40">
        <v>47087.91666666667</v>
      </c>
      <c r="B30" s="13">
        <v>1</v>
      </c>
      <c r="C30" s="13">
        <v>13</v>
      </c>
      <c r="D30" s="13">
        <v>0</v>
      </c>
      <c r="E30" s="13">
        <v>6</v>
      </c>
      <c r="F30" s="13">
        <v>602.0775358392928</v>
      </c>
      <c r="G30" s="13">
        <v>5</v>
      </c>
      <c r="H30" s="13">
        <v>16</v>
      </c>
      <c r="I30" s="13">
        <v>7</v>
      </c>
      <c r="J30" s="13">
        <v>9</v>
      </c>
      <c r="K30" s="13">
        <v>15</v>
      </c>
      <c r="L30" s="13">
        <v>53</v>
      </c>
      <c r="M30" s="13">
        <v>21</v>
      </c>
      <c r="N30" s="13">
        <v>105</v>
      </c>
      <c r="O30" s="13">
        <v>1622.31766029677</v>
      </c>
      <c r="P30" s="13">
        <v>4313.72825436788</v>
      </c>
    </row>
    <row r="31" spans="1:16" x14ac:dyDescent="0.25">
      <c r="A31" s="40">
        <v>47118.91666666667</v>
      </c>
      <c r="B31" s="13">
        <v>2</v>
      </c>
      <c r="C31" s="13">
        <v>29</v>
      </c>
      <c r="D31" s="13">
        <v>9</v>
      </c>
      <c r="E31" s="13">
        <v>9</v>
      </c>
      <c r="F31" s="13">
        <v>905.2734274013749</v>
      </c>
      <c r="G31" s="13">
        <v>0</v>
      </c>
      <c r="H31" s="13">
        <v>20</v>
      </c>
      <c r="I31" s="13">
        <v>2</v>
      </c>
      <c r="J31" s="13">
        <v>29</v>
      </c>
      <c r="K31" s="13">
        <v>9</v>
      </c>
      <c r="L31" s="13">
        <v>29</v>
      </c>
      <c r="M31" s="13">
        <v>51</v>
      </c>
      <c r="N31" s="13">
        <v>120</v>
      </c>
      <c r="O31" s="13">
        <v>1695.3048031212877</v>
      </c>
      <c r="P31" s="13">
        <v>5334.201550392129</v>
      </c>
    </row>
    <row r="32" spans="1:16" x14ac:dyDescent="0.25">
      <c r="A32" s="40">
        <v>47149.91666666667</v>
      </c>
      <c r="B32" s="13">
        <v>7</v>
      </c>
      <c r="C32" s="13">
        <v>86</v>
      </c>
      <c r="D32" s="13">
        <v>28</v>
      </c>
      <c r="E32" s="13">
        <v>21</v>
      </c>
      <c r="F32" s="13">
        <v>2109.0819691957176</v>
      </c>
      <c r="G32" s="13">
        <v>4</v>
      </c>
      <c r="H32" s="13">
        <v>20</v>
      </c>
      <c r="I32" s="13">
        <v>3</v>
      </c>
      <c r="J32" s="13">
        <v>84</v>
      </c>
      <c r="K32" s="13">
        <v>34</v>
      </c>
      <c r="L32" s="13">
        <v>6</v>
      </c>
      <c r="M32" s="13">
        <v>53</v>
      </c>
      <c r="N32" s="13">
        <v>180</v>
      </c>
      <c r="O32" s="13">
        <v>1795.95497351253</v>
      </c>
      <c r="P32" s="13">
        <v>5124.539177760323</v>
      </c>
    </row>
    <row r="33" spans="1:16" x14ac:dyDescent="0.25">
      <c r="A33" s="40">
        <v>47177.91666666667</v>
      </c>
      <c r="B33" s="13">
        <v>6</v>
      </c>
      <c r="C33" s="13">
        <v>80</v>
      </c>
      <c r="D33" s="13">
        <v>95</v>
      </c>
      <c r="E33" s="13">
        <v>35</v>
      </c>
      <c r="F33" s="13">
        <v>3515.9870839420128</v>
      </c>
      <c r="G33" s="13">
        <v>9</v>
      </c>
      <c r="H33" s="13">
        <v>20</v>
      </c>
      <c r="I33" s="13">
        <v>2</v>
      </c>
      <c r="J33" s="13">
        <v>62</v>
      </c>
      <c r="K33" s="13">
        <v>109</v>
      </c>
      <c r="L33" s="13">
        <v>22</v>
      </c>
      <c r="M33" s="13">
        <v>20</v>
      </c>
      <c r="N33" s="13">
        <v>215</v>
      </c>
      <c r="O33" s="13">
        <v>2070.1178284269854</v>
      </c>
      <c r="P33" s="13">
        <v>5002.232014101761</v>
      </c>
    </row>
    <row r="34" spans="1:16" x14ac:dyDescent="0.25">
      <c r="A34" s="40">
        <v>47208.91666666667</v>
      </c>
      <c r="B34" s="13">
        <v>1</v>
      </c>
      <c r="C34" s="13">
        <v>9</v>
      </c>
      <c r="D34" s="13">
        <v>61</v>
      </c>
      <c r="E34" s="13">
        <v>15</v>
      </c>
      <c r="F34" s="13">
        <v>1506.2272530362188</v>
      </c>
      <c r="G34" s="13">
        <v>3</v>
      </c>
      <c r="H34" s="13">
        <v>20</v>
      </c>
      <c r="I34" s="13">
        <v>2</v>
      </c>
      <c r="J34" s="13">
        <v>9</v>
      </c>
      <c r="K34" s="13">
        <v>114</v>
      </c>
      <c r="L34" s="13">
        <v>63</v>
      </c>
      <c r="M34" s="13">
        <v>16</v>
      </c>
      <c r="N34" s="13">
        <v>204</v>
      </c>
      <c r="O34" s="13">
        <v>1728.2682080923842</v>
      </c>
      <c r="P34" s="13">
        <v>5461.540839098231</v>
      </c>
    </row>
    <row r="35" spans="1:16" x14ac:dyDescent="0.25">
      <c r="A35" s="40">
        <v>47238.91666666667</v>
      </c>
      <c r="B35" s="13">
        <v>3</v>
      </c>
      <c r="C35" s="13">
        <v>39</v>
      </c>
      <c r="D35" s="13">
        <v>9</v>
      </c>
      <c r="E35" s="13">
        <v>5</v>
      </c>
      <c r="F35" s="13">
        <v>501.4219223211844</v>
      </c>
      <c r="G35" s="13">
        <v>0</v>
      </c>
      <c r="H35" s="13">
        <v>20</v>
      </c>
      <c r="I35" s="13">
        <v>1</v>
      </c>
      <c r="J35" s="13">
        <v>39</v>
      </c>
      <c r="K35" s="13">
        <v>48</v>
      </c>
      <c r="L35" s="13">
        <v>102</v>
      </c>
      <c r="M35" s="13">
        <v>46</v>
      </c>
      <c r="N35" s="13">
        <v>236</v>
      </c>
      <c r="O35" s="13">
        <v>1777.8050769376698</v>
      </c>
      <c r="P35" s="13">
        <v>8344.979810494511</v>
      </c>
    </row>
    <row r="36" spans="1:16" x14ac:dyDescent="0.25">
      <c r="A36" s="40">
        <v>47269.91666666667</v>
      </c>
      <c r="B36" s="13">
        <v>4</v>
      </c>
      <c r="C36" s="13">
        <v>49</v>
      </c>
      <c r="D36" s="13">
        <v>36</v>
      </c>
      <c r="E36" s="13">
        <v>18</v>
      </c>
      <c r="F36" s="13">
        <v>1807.6090889536638</v>
      </c>
      <c r="G36" s="13">
        <v>7</v>
      </c>
      <c r="H36" s="13">
        <v>19</v>
      </c>
      <c r="I36" s="13">
        <v>4</v>
      </c>
      <c r="J36" s="13">
        <v>48</v>
      </c>
      <c r="K36" s="13">
        <v>45</v>
      </c>
      <c r="L36" s="13">
        <v>67</v>
      </c>
      <c r="M36" s="13">
        <v>96</v>
      </c>
      <c r="N36" s="13">
        <v>260</v>
      </c>
      <c r="O36" s="13">
        <v>1740.7637298350053</v>
      </c>
      <c r="P36" s="13">
        <v>10910.76891705038</v>
      </c>
    </row>
    <row r="37" spans="1:16" x14ac:dyDescent="0.25">
      <c r="A37" s="40">
        <v>47299.91666666667</v>
      </c>
      <c r="B37" s="13">
        <v>7</v>
      </c>
      <c r="C37" s="13">
        <v>95</v>
      </c>
      <c r="D37" s="13">
        <v>45</v>
      </c>
      <c r="E37" s="13">
        <v>50</v>
      </c>
      <c r="F37" s="13">
        <v>5020.754223228168</v>
      </c>
      <c r="G37" s="13">
        <v>10</v>
      </c>
      <c r="H37" s="13">
        <v>20</v>
      </c>
      <c r="I37" s="13">
        <v>2</v>
      </c>
      <c r="J37" s="13">
        <v>89</v>
      </c>
      <c r="K37" s="13">
        <v>66</v>
      </c>
      <c r="L37" s="13">
        <v>35</v>
      </c>
      <c r="M37" s="13">
        <v>100</v>
      </c>
      <c r="N37" s="13">
        <v>292</v>
      </c>
      <c r="O37" s="13">
        <v>1951.9607749510697</v>
      </c>
      <c r="P37" s="13">
        <v>11878.941029701464</v>
      </c>
    </row>
    <row r="38" spans="1:16" x14ac:dyDescent="0.25">
      <c r="A38" s="40">
        <v>47330.91666666667</v>
      </c>
      <c r="B38" s="13">
        <v>5</v>
      </c>
      <c r="C38" s="13">
        <v>55</v>
      </c>
      <c r="D38" s="13">
        <v>89</v>
      </c>
      <c r="E38" s="13">
        <v>65</v>
      </c>
      <c r="F38" s="13">
        <v>6527.2027063938285</v>
      </c>
      <c r="G38" s="13">
        <v>11</v>
      </c>
      <c r="H38" s="13">
        <v>20</v>
      </c>
      <c r="I38" s="13">
        <v>2</v>
      </c>
      <c r="J38" s="13">
        <v>45</v>
      </c>
      <c r="K38" s="13">
        <v>116</v>
      </c>
      <c r="L38" s="13">
        <v>56</v>
      </c>
      <c r="M38" s="13">
        <v>51</v>
      </c>
      <c r="N38" s="13">
        <v>270</v>
      </c>
      <c r="O38" s="13">
        <v>2142.764079594504</v>
      </c>
      <c r="P38" s="13">
        <v>9817.781241007116</v>
      </c>
    </row>
    <row r="39" spans="1:16" x14ac:dyDescent="0.25">
      <c r="A39" s="40">
        <v>47361.91666666667</v>
      </c>
      <c r="B39" s="13">
        <v>1</v>
      </c>
      <c r="C39" s="13">
        <v>13</v>
      </c>
      <c r="D39" s="13">
        <v>36</v>
      </c>
      <c r="E39" s="13">
        <v>40</v>
      </c>
      <c r="F39" s="13">
        <v>4018.673117566779</v>
      </c>
      <c r="G39" s="13">
        <v>13</v>
      </c>
      <c r="H39" s="13">
        <v>20</v>
      </c>
      <c r="I39" s="13">
        <v>2</v>
      </c>
      <c r="J39" s="13">
        <v>13</v>
      </c>
      <c r="K39" s="13">
        <v>110</v>
      </c>
      <c r="L39" s="13">
        <v>60</v>
      </c>
      <c r="M39" s="13">
        <v>43</v>
      </c>
      <c r="N39" s="13">
        <v>228</v>
      </c>
      <c r="O39" s="13">
        <v>1748.6177362946491</v>
      </c>
      <c r="P39" s="13">
        <v>8472.04733384122</v>
      </c>
    </row>
    <row r="40" spans="1:16" x14ac:dyDescent="0.25">
      <c r="A40" s="40">
        <v>47391.91666666667</v>
      </c>
      <c r="B40" s="13">
        <v>2</v>
      </c>
      <c r="C40" s="13">
        <v>25</v>
      </c>
      <c r="D40" s="13">
        <v>26</v>
      </c>
      <c r="E40" s="13">
        <v>25</v>
      </c>
      <c r="F40" s="13">
        <v>2511.489864551314</v>
      </c>
      <c r="G40" s="13">
        <v>7</v>
      </c>
      <c r="H40" s="13">
        <v>20</v>
      </c>
      <c r="I40" s="13">
        <v>1</v>
      </c>
      <c r="J40" s="13">
        <v>9</v>
      </c>
      <c r="K40" s="13">
        <v>61</v>
      </c>
      <c r="L40" s="13">
        <v>82</v>
      </c>
      <c r="M40" s="13">
        <v>66</v>
      </c>
      <c r="N40" s="13">
        <v>219</v>
      </c>
      <c r="O40" s="13">
        <v>1738.3514648394673</v>
      </c>
      <c r="P40" s="13">
        <v>10209.317792239348</v>
      </c>
    </row>
    <row r="41" spans="1:16" x14ac:dyDescent="0.25">
      <c r="A41" s="40">
        <v>47422.91666666667</v>
      </c>
      <c r="B41" s="13">
        <v>4</v>
      </c>
      <c r="C41" s="13">
        <v>53</v>
      </c>
      <c r="D41" s="13">
        <v>16</v>
      </c>
      <c r="E41" s="13">
        <v>38</v>
      </c>
      <c r="F41" s="13">
        <v>3817.3626127206985</v>
      </c>
      <c r="G41" s="13">
        <v>7</v>
      </c>
      <c r="H41" s="13">
        <v>19</v>
      </c>
      <c r="I41" s="13">
        <v>4</v>
      </c>
      <c r="J41" s="13">
        <v>40</v>
      </c>
      <c r="K41" s="13">
        <v>42</v>
      </c>
      <c r="L41" s="13">
        <v>53</v>
      </c>
      <c r="M41" s="13">
        <v>89</v>
      </c>
      <c r="N41" s="13">
        <v>228</v>
      </c>
      <c r="O41" s="13">
        <v>1624.3776878917024</v>
      </c>
      <c r="P41" s="13">
        <v>10480.499706471814</v>
      </c>
    </row>
    <row r="42" spans="1:16" x14ac:dyDescent="0.25">
      <c r="A42" s="40">
        <v>47452.91666666667</v>
      </c>
      <c r="B42" s="13">
        <v>5</v>
      </c>
      <c r="C42" s="13">
        <v>65</v>
      </c>
      <c r="D42" s="13">
        <v>38</v>
      </c>
      <c r="E42" s="13">
        <v>44</v>
      </c>
      <c r="F42" s="13">
        <v>4416.753100226964</v>
      </c>
      <c r="G42" s="13">
        <v>12</v>
      </c>
      <c r="H42" s="13">
        <v>20</v>
      </c>
      <c r="I42" s="13">
        <v>3</v>
      </c>
      <c r="J42" s="13">
        <v>58</v>
      </c>
      <c r="K42" s="13">
        <v>51</v>
      </c>
      <c r="L42" s="13">
        <v>38</v>
      </c>
      <c r="M42" s="13">
        <v>86</v>
      </c>
      <c r="N42" s="13">
        <v>236</v>
      </c>
      <c r="O42" s="13">
        <v>1965.9802166478964</v>
      </c>
      <c r="P42" s="13">
        <v>10345.884026467806</v>
      </c>
    </row>
  </sheetData>
  <autoFilter ref="A6:P6"/>
  <mergeCells count="2">
    <mergeCell ref="A2:P2"/>
    <mergeCell ref="A3:P3"/>
  </mergeCells>
  <pageMargins left="0.25" right="0.25" top="0.45" bottom="0.45" header="0.2" footer="0.2"/>
  <pageSetup paperSize="9" orientation="landscape" horizontalDpi="4294967295" verticalDpi="4294967295" scale="100" fitToWidth="1" fitToHeight="0"/>
  <headerFooter>
    <oddFooter>&amp;LHerd and production plan&amp;RPage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EB8E8"/>
    <pageSetUpPr fitToPage="1"/>
  </sheetPr>
  <dimension ref="A2:D93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9" customWidth="1"/>
    <col min="3" max="3" width="20" customWidth="1"/>
    <col min="4" max="4" width="48" customWidth="1"/>
  </cols>
  <sheetData>
    <row r="2" ht="24" customHeight="1" spans="1:4" x14ac:dyDescent="0.25">
      <c r="A2" s="1" t="s">
        <v>67</v>
      </c>
      <c r="B2" s="1"/>
      <c r="C2" s="1"/>
      <c r="D2" s="1"/>
    </row>
    <row r="3" ht="18" customHeight="1" spans="1:4" x14ac:dyDescent="0.25">
      <c r="A3" s="2" t="s">
        <v>68</v>
      </c>
      <c r="B3" s="2"/>
      <c r="C3" s="2"/>
      <c r="D3" s="2"/>
    </row>
    <row r="4" ht="3" customHeight="1" spans="1:4" x14ac:dyDescent="0.25">
      <c r="A4" s="3"/>
      <c r="B4" s="3"/>
      <c r="C4" s="3"/>
      <c r="D4" s="3"/>
    </row>
    <row r="6" ht="22" customHeight="1" spans="1:4" x14ac:dyDescent="0.25">
      <c r="A6" s="9" t="s">
        <v>69</v>
      </c>
      <c r="B6" s="10" t="s">
        <v>70</v>
      </c>
      <c r="C6" s="10" t="s">
        <v>71</v>
      </c>
      <c r="D6" s="10" t="s">
        <v>72</v>
      </c>
    </row>
    <row r="7" ht="20" customHeight="1" spans="1:4" x14ac:dyDescent="0.25">
      <c r="A7" s="27" t="s">
        <v>73</v>
      </c>
      <c r="B7" s="41"/>
      <c r="C7" s="41"/>
      <c r="D7" s="41"/>
    </row>
    <row r="8" spans="1:4" x14ac:dyDescent="0.25">
      <c r="A8" s="11" t="s">
        <v>74</v>
      </c>
      <c r="B8" s="42" t="s">
        <v>75</v>
      </c>
      <c r="C8" s="43"/>
      <c r="D8" s="43"/>
    </row>
    <row r="9" spans="1:4" x14ac:dyDescent="0.25">
      <c r="A9" s="11" t="s">
        <v>76</v>
      </c>
      <c r="B9" s="42" t="s">
        <v>77</v>
      </c>
      <c r="C9" s="11" t="s">
        <v>78</v>
      </c>
      <c r="D9" s="43"/>
    </row>
    <row r="10" spans="1:4" x14ac:dyDescent="0.25">
      <c r="A10" s="11" t="s">
        <v>79</v>
      </c>
      <c r="B10" s="42">
        <v>36</v>
      </c>
      <c r="C10" s="11" t="s">
        <v>80</v>
      </c>
      <c r="D10" s="43"/>
    </row>
    <row r="11" spans="1:4" x14ac:dyDescent="0.25">
      <c r="A11" s="11" t="s">
        <v>81</v>
      </c>
      <c r="B11" s="42" t="s">
        <v>82</v>
      </c>
      <c r="C11" s="43"/>
      <c r="D11" s="43"/>
    </row>
    <row r="12" spans="1:4" x14ac:dyDescent="0.25">
      <c r="A12" s="11" t="s">
        <v>3</v>
      </c>
      <c r="B12" s="42">
        <v>0</v>
      </c>
      <c r="C12" s="11" t="s">
        <v>82</v>
      </c>
      <c r="D12" s="43"/>
    </row>
    <row r="13" spans="1:4" x14ac:dyDescent="0.25">
      <c r="A13" s="11" t="s">
        <v>83</v>
      </c>
      <c r="B13" s="42">
        <v>1</v>
      </c>
      <c r="C13" s="43"/>
      <c r="D13" s="43"/>
    </row>
    <row r="15" ht="20" customHeight="1" spans="1:4" x14ac:dyDescent="0.25">
      <c r="A15" s="27" t="s">
        <v>84</v>
      </c>
      <c r="B15" s="41"/>
      <c r="C15" s="41"/>
      <c r="D15" s="41"/>
    </row>
    <row r="16" spans="1:4" x14ac:dyDescent="0.25">
      <c r="A16" s="11" t="s">
        <v>85</v>
      </c>
      <c r="B16" s="42">
        <v>2</v>
      </c>
      <c r="C16" s="11" t="s">
        <v>86</v>
      </c>
      <c r="D16" s="43"/>
    </row>
    <row r="17" spans="1:4" x14ac:dyDescent="0.25">
      <c r="A17" s="11" t="s">
        <v>87</v>
      </c>
      <c r="B17" s="42">
        <v>0</v>
      </c>
      <c r="C17" s="11" t="s">
        <v>86</v>
      </c>
      <c r="D17" s="43"/>
    </row>
    <row r="18" spans="1:4" x14ac:dyDescent="0.25">
      <c r="A18" s="11" t="s">
        <v>88</v>
      </c>
      <c r="B18" s="42">
        <v>1</v>
      </c>
      <c r="C18" s="11" t="s">
        <v>86</v>
      </c>
      <c r="D18" s="43"/>
    </row>
    <row r="19" spans="1:4" x14ac:dyDescent="0.25">
      <c r="A19" s="11" t="s">
        <v>89</v>
      </c>
      <c r="B19" s="42">
        <v>0</v>
      </c>
      <c r="C19" s="11" t="s">
        <v>86</v>
      </c>
      <c r="D19" s="43"/>
    </row>
    <row r="20" spans="1:4" x14ac:dyDescent="0.25">
      <c r="A20" s="11" t="s">
        <v>90</v>
      </c>
      <c r="B20" s="42">
        <v>0</v>
      </c>
      <c r="C20" s="11" t="s">
        <v>86</v>
      </c>
      <c r="D20" s="43"/>
    </row>
    <row r="21" spans="1:4" x14ac:dyDescent="0.25">
      <c r="A21" s="11" t="s">
        <v>91</v>
      </c>
      <c r="B21" s="42">
        <v>0</v>
      </c>
      <c r="C21" s="11" t="s">
        <v>86</v>
      </c>
      <c r="D21" s="43"/>
    </row>
    <row r="22" spans="1:4" x14ac:dyDescent="0.25">
      <c r="A22" s="11" t="s">
        <v>92</v>
      </c>
      <c r="B22" s="42" t="s">
        <v>93</v>
      </c>
      <c r="C22" s="43"/>
      <c r="D22" s="43"/>
    </row>
    <row r="23" spans="1:4" x14ac:dyDescent="0.25">
      <c r="A23" s="11" t="s">
        <v>94</v>
      </c>
      <c r="B23" s="42">
        <v>20</v>
      </c>
      <c r="C23" s="11" t="s">
        <v>86</v>
      </c>
      <c r="D23" s="43"/>
    </row>
    <row r="24" spans="1:4" x14ac:dyDescent="0.25">
      <c r="A24" s="11" t="s">
        <v>95</v>
      </c>
      <c r="B24" s="42">
        <v>6</v>
      </c>
      <c r="C24" s="11" t="s">
        <v>96</v>
      </c>
      <c r="D24" s="43"/>
    </row>
    <row r="25" spans="1:4" x14ac:dyDescent="0.25">
      <c r="A25" s="11" t="s">
        <v>97</v>
      </c>
      <c r="B25" s="42" t="s">
        <v>98</v>
      </c>
      <c r="C25" s="11" t="s">
        <v>99</v>
      </c>
      <c r="D25" s="43"/>
    </row>
    <row r="26" spans="1:4" x14ac:dyDescent="0.25">
      <c r="A26" s="11" t="s">
        <v>100</v>
      </c>
      <c r="B26" s="42" t="s">
        <v>101</v>
      </c>
      <c r="C26" s="11" t="s">
        <v>99</v>
      </c>
      <c r="D26" s="43"/>
    </row>
    <row r="27" spans="1:4" x14ac:dyDescent="0.25">
      <c r="A27" s="11" t="s">
        <v>102</v>
      </c>
      <c r="B27" s="42">
        <v>4</v>
      </c>
      <c r="C27" s="11" t="s">
        <v>103</v>
      </c>
      <c r="D27" s="43"/>
    </row>
    <row r="28" spans="1:4" x14ac:dyDescent="0.25">
      <c r="A28" s="11" t="s">
        <v>104</v>
      </c>
      <c r="B28" s="42">
        <v>30</v>
      </c>
      <c r="C28" s="11" t="s">
        <v>105</v>
      </c>
      <c r="D28" s="43"/>
    </row>
    <row r="29" spans="1:4" x14ac:dyDescent="0.25">
      <c r="A29" s="11" t="s">
        <v>106</v>
      </c>
      <c r="B29" s="42">
        <v>125</v>
      </c>
      <c r="C29" s="11" t="s">
        <v>105</v>
      </c>
      <c r="D29" s="43"/>
    </row>
    <row r="30" spans="1:4" x14ac:dyDescent="0.25">
      <c r="A30" s="11" t="s">
        <v>107</v>
      </c>
      <c r="B30" s="42">
        <v>230</v>
      </c>
      <c r="C30" s="11" t="s">
        <v>108</v>
      </c>
      <c r="D30" s="43"/>
    </row>
    <row r="31" spans="1:4" x14ac:dyDescent="0.25">
      <c r="A31" s="11" t="s">
        <v>109</v>
      </c>
      <c r="B31" s="42">
        <v>350</v>
      </c>
      <c r="C31" s="11" t="s">
        <v>82</v>
      </c>
      <c r="D31" s="43"/>
    </row>
    <row r="32" spans="1:4" x14ac:dyDescent="0.25">
      <c r="A32" s="11" t="s">
        <v>110</v>
      </c>
      <c r="B32" s="42">
        <v>600</v>
      </c>
      <c r="C32" s="11" t="s">
        <v>82</v>
      </c>
      <c r="D32" s="43"/>
    </row>
    <row r="33" spans="1:4" x14ac:dyDescent="0.25">
      <c r="A33" s="11" t="s">
        <v>111</v>
      </c>
      <c r="B33" s="42">
        <v>320</v>
      </c>
      <c r="C33" s="11" t="s">
        <v>82</v>
      </c>
      <c r="D33" s="43"/>
    </row>
    <row r="34" spans="1:4" x14ac:dyDescent="0.25">
      <c r="A34" s="11" t="s">
        <v>112</v>
      </c>
      <c r="B34" s="42">
        <v>200</v>
      </c>
      <c r="C34" s="11" t="s">
        <v>82</v>
      </c>
      <c r="D34" s="43"/>
    </row>
    <row r="36" ht="20" customHeight="1" spans="1:4" x14ac:dyDescent="0.25">
      <c r="A36" s="27" t="s">
        <v>113</v>
      </c>
      <c r="B36" s="41"/>
      <c r="C36" s="41"/>
      <c r="D36" s="41"/>
    </row>
    <row r="37" spans="1:4" x14ac:dyDescent="0.25">
      <c r="A37" s="11" t="s">
        <v>114</v>
      </c>
      <c r="B37" s="42">
        <v>115</v>
      </c>
      <c r="C37" s="11" t="s">
        <v>108</v>
      </c>
      <c r="D37" s="43"/>
    </row>
    <row r="38" spans="1:4" x14ac:dyDescent="0.25">
      <c r="A38" s="11" t="s">
        <v>115</v>
      </c>
      <c r="B38" s="42">
        <v>28</v>
      </c>
      <c r="C38" s="11" t="s">
        <v>108</v>
      </c>
      <c r="D38" s="43"/>
    </row>
    <row r="39" spans="1:4" x14ac:dyDescent="0.25">
      <c r="A39" s="11" t="s">
        <v>116</v>
      </c>
      <c r="B39" s="42">
        <v>7</v>
      </c>
      <c r="C39" s="11" t="s">
        <v>108</v>
      </c>
      <c r="D39" s="43"/>
    </row>
    <row r="40" spans="1:4" x14ac:dyDescent="0.25">
      <c r="A40" s="11" t="s">
        <v>117</v>
      </c>
      <c r="B40" s="42">
        <v>90</v>
      </c>
      <c r="C40" s="11" t="s">
        <v>118</v>
      </c>
      <c r="D40" s="43"/>
    </row>
    <row r="41" spans="1:4" x14ac:dyDescent="0.25">
      <c r="A41" s="11" t="s">
        <v>119</v>
      </c>
      <c r="B41" s="42">
        <v>12.4</v>
      </c>
      <c r="C41" s="11" t="s">
        <v>120</v>
      </c>
      <c r="D41" s="43"/>
    </row>
    <row r="42" spans="1:4" x14ac:dyDescent="0.25">
      <c r="A42" s="11" t="s">
        <v>121</v>
      </c>
      <c r="B42" s="42">
        <v>12.5</v>
      </c>
      <c r="C42" s="11" t="s">
        <v>118</v>
      </c>
      <c r="D42" s="43"/>
    </row>
    <row r="44" ht="20" customHeight="1" spans="1:4" x14ac:dyDescent="0.25">
      <c r="A44" s="27" t="s">
        <v>122</v>
      </c>
      <c r="B44" s="41"/>
      <c r="C44" s="41"/>
      <c r="D44" s="41"/>
    </row>
    <row r="45" spans="1:4" x14ac:dyDescent="0.25">
      <c r="A45" s="11" t="s">
        <v>123</v>
      </c>
      <c r="B45" s="42">
        <v>7.5</v>
      </c>
      <c r="C45" s="11" t="s">
        <v>105</v>
      </c>
      <c r="D45" s="43"/>
    </row>
    <row r="46" spans="1:4" x14ac:dyDescent="0.25">
      <c r="A46" s="11" t="s">
        <v>124</v>
      </c>
      <c r="B46" s="42">
        <v>30</v>
      </c>
      <c r="C46" s="11" t="s">
        <v>105</v>
      </c>
      <c r="D46" s="43"/>
    </row>
    <row r="47" spans="1:4" x14ac:dyDescent="0.25">
      <c r="A47" s="11" t="s">
        <v>125</v>
      </c>
      <c r="B47" s="42">
        <v>60</v>
      </c>
      <c r="C47" s="11" t="s">
        <v>105</v>
      </c>
      <c r="D47" s="43"/>
    </row>
    <row r="48" spans="1:4" x14ac:dyDescent="0.25">
      <c r="A48" s="11" t="s">
        <v>126</v>
      </c>
      <c r="B48" s="42">
        <v>100</v>
      </c>
      <c r="C48" s="11" t="s">
        <v>105</v>
      </c>
      <c r="D48" s="43"/>
    </row>
    <row r="49" spans="1:4" x14ac:dyDescent="0.25">
      <c r="A49" s="11" t="s">
        <v>127</v>
      </c>
      <c r="B49" s="42">
        <v>0.45</v>
      </c>
      <c r="C49" s="11" t="s">
        <v>128</v>
      </c>
      <c r="D49" s="43"/>
    </row>
    <row r="50" spans="1:4" x14ac:dyDescent="0.25">
      <c r="A50" s="11" t="s">
        <v>129</v>
      </c>
      <c r="B50" s="42">
        <v>0.7</v>
      </c>
      <c r="C50" s="11" t="s">
        <v>128</v>
      </c>
      <c r="D50" s="43"/>
    </row>
    <row r="51" spans="1:4" x14ac:dyDescent="0.25">
      <c r="A51" s="11" t="s">
        <v>130</v>
      </c>
      <c r="B51" s="42">
        <v>0.85</v>
      </c>
      <c r="C51" s="11" t="s">
        <v>128</v>
      </c>
      <c r="D51" s="43"/>
    </row>
    <row r="52" spans="1:4" x14ac:dyDescent="0.25">
      <c r="A52" s="11" t="s">
        <v>131</v>
      </c>
      <c r="B52" s="42">
        <v>1.7</v>
      </c>
      <c r="C52" s="11" t="s">
        <v>132</v>
      </c>
      <c r="D52" s="43"/>
    </row>
    <row r="53" spans="1:4" x14ac:dyDescent="0.25">
      <c r="A53" s="11" t="s">
        <v>133</v>
      </c>
      <c r="B53" s="42">
        <v>2.4</v>
      </c>
      <c r="C53" s="11" t="s">
        <v>132</v>
      </c>
      <c r="D53" s="43"/>
    </row>
    <row r="54" spans="1:4" x14ac:dyDescent="0.25">
      <c r="A54" s="11" t="s">
        <v>134</v>
      </c>
      <c r="B54" s="42">
        <v>3</v>
      </c>
      <c r="C54" s="11" t="s">
        <v>132</v>
      </c>
      <c r="D54" s="43"/>
    </row>
    <row r="55" spans="1:4" x14ac:dyDescent="0.25">
      <c r="A55" s="11" t="s">
        <v>135</v>
      </c>
      <c r="B55" s="42">
        <v>2</v>
      </c>
      <c r="C55" s="11" t="s">
        <v>136</v>
      </c>
      <c r="D55" s="43"/>
    </row>
    <row r="56" spans="1:4" x14ac:dyDescent="0.25">
      <c r="A56" s="11" t="s">
        <v>137</v>
      </c>
      <c r="B56" s="42">
        <v>1.5</v>
      </c>
      <c r="C56" s="11" t="s">
        <v>136</v>
      </c>
      <c r="D56" s="43"/>
    </row>
    <row r="57" spans="1:4" x14ac:dyDescent="0.25">
      <c r="A57" s="11" t="s">
        <v>138</v>
      </c>
      <c r="B57" s="42">
        <v>1.5</v>
      </c>
      <c r="C57" s="11" t="s">
        <v>136</v>
      </c>
      <c r="D57" s="43"/>
    </row>
    <row r="59" ht="20" customHeight="1" spans="1:4" x14ac:dyDescent="0.25">
      <c r="A59" s="27" t="s">
        <v>139</v>
      </c>
      <c r="B59" s="41"/>
      <c r="C59" s="41"/>
      <c r="D59" s="41"/>
    </row>
    <row r="60" spans="1:4" x14ac:dyDescent="0.25">
      <c r="A60" s="11" t="s">
        <v>140</v>
      </c>
      <c r="B60" s="42">
        <v>2.4</v>
      </c>
      <c r="C60" s="11" t="s">
        <v>128</v>
      </c>
      <c r="D60" s="43"/>
    </row>
    <row r="61" spans="1:4" x14ac:dyDescent="0.25">
      <c r="A61" s="11" t="s">
        <v>141</v>
      </c>
      <c r="B61" s="42">
        <v>6</v>
      </c>
      <c r="C61" s="11" t="s">
        <v>128</v>
      </c>
      <c r="D61" s="43"/>
    </row>
    <row r="62" spans="1:4" x14ac:dyDescent="0.25">
      <c r="A62" s="11" t="s">
        <v>142</v>
      </c>
      <c r="B62" s="42">
        <v>2.5</v>
      </c>
      <c r="C62" s="11" t="s">
        <v>128</v>
      </c>
      <c r="D62" s="43"/>
    </row>
    <row r="63" spans="1:4" x14ac:dyDescent="0.25">
      <c r="A63" s="11" t="s">
        <v>143</v>
      </c>
      <c r="B63" s="42">
        <v>14</v>
      </c>
      <c r="C63" s="11" t="s">
        <v>108</v>
      </c>
      <c r="D63" s="43"/>
    </row>
    <row r="64" spans="1:4" x14ac:dyDescent="0.25">
      <c r="A64" s="11" t="s">
        <v>144</v>
      </c>
      <c r="B64" s="42">
        <v>0.05</v>
      </c>
      <c r="C64" s="11" t="s">
        <v>128</v>
      </c>
      <c r="D64" s="43"/>
    </row>
    <row r="65" spans="1:4" x14ac:dyDescent="0.25">
      <c r="A65" s="11" t="s">
        <v>145</v>
      </c>
      <c r="B65" s="42">
        <v>0.56</v>
      </c>
      <c r="C65" s="11" t="s">
        <v>146</v>
      </c>
      <c r="D65" s="43"/>
    </row>
    <row r="66" spans="1:4" x14ac:dyDescent="0.25">
      <c r="A66" s="11" t="s">
        <v>147</v>
      </c>
      <c r="B66" s="42">
        <v>1.2</v>
      </c>
      <c r="C66" s="11" t="s">
        <v>146</v>
      </c>
      <c r="D66" s="43"/>
    </row>
    <row r="67" spans="1:4" x14ac:dyDescent="0.25">
      <c r="A67" s="11" t="s">
        <v>148</v>
      </c>
      <c r="B67" s="42">
        <v>0.68</v>
      </c>
      <c r="C67" s="11" t="s">
        <v>146</v>
      </c>
      <c r="D67" s="43"/>
    </row>
    <row r="68" spans="1:4" x14ac:dyDescent="0.25">
      <c r="A68" s="11" t="s">
        <v>149</v>
      </c>
      <c r="B68" s="42">
        <v>0.56</v>
      </c>
      <c r="C68" s="11" t="s">
        <v>146</v>
      </c>
      <c r="D68" s="43"/>
    </row>
    <row r="69" spans="1:4" x14ac:dyDescent="0.25">
      <c r="A69" s="11" t="s">
        <v>150</v>
      </c>
      <c r="B69" s="42">
        <v>0.52</v>
      </c>
      <c r="C69" s="11" t="s">
        <v>146</v>
      </c>
      <c r="D69" s="43"/>
    </row>
    <row r="71" ht="20" customHeight="1" spans="1:4" x14ac:dyDescent="0.25">
      <c r="A71" s="27" t="s">
        <v>151</v>
      </c>
      <c r="B71" s="41"/>
      <c r="C71" s="41"/>
      <c r="D71" s="41"/>
    </row>
    <row r="72" spans="1:4" x14ac:dyDescent="0.25">
      <c r="A72" s="11" t="s">
        <v>152</v>
      </c>
      <c r="B72" s="42">
        <v>2.5</v>
      </c>
      <c r="C72" s="11" t="s">
        <v>153</v>
      </c>
      <c r="D72" s="43"/>
    </row>
    <row r="73" spans="1:4" x14ac:dyDescent="0.25">
      <c r="A73" s="11" t="s">
        <v>154</v>
      </c>
      <c r="B73" s="42">
        <v>0.04</v>
      </c>
      <c r="C73" s="11" t="s">
        <v>155</v>
      </c>
      <c r="D73" s="43"/>
    </row>
    <row r="74" spans="1:4" x14ac:dyDescent="0.25">
      <c r="A74" s="11" t="s">
        <v>156</v>
      </c>
      <c r="B74" s="42">
        <v>56</v>
      </c>
      <c r="C74" s="11" t="s">
        <v>108</v>
      </c>
      <c r="D74" s="43"/>
    </row>
    <row r="76" ht="20" customHeight="1" spans="1:4" x14ac:dyDescent="0.25">
      <c r="A76" s="27" t="s">
        <v>157</v>
      </c>
      <c r="B76" s="41"/>
      <c r="C76" s="41"/>
      <c r="D76" s="41"/>
    </row>
    <row r="77" spans="1:4" x14ac:dyDescent="0.25">
      <c r="A77" s="11" t="s">
        <v>158</v>
      </c>
      <c r="B77" s="42">
        <v>3.5</v>
      </c>
      <c r="C77" s="11" t="s">
        <v>82</v>
      </c>
      <c r="D77" s="43"/>
    </row>
    <row r="78" spans="1:4" x14ac:dyDescent="0.25">
      <c r="A78" s="11" t="s">
        <v>159</v>
      </c>
      <c r="B78" s="42">
        <v>4</v>
      </c>
      <c r="C78" s="11" t="s">
        <v>82</v>
      </c>
      <c r="D78" s="43"/>
    </row>
    <row r="79" spans="1:4" x14ac:dyDescent="0.25">
      <c r="A79" s="11" t="s">
        <v>160</v>
      </c>
      <c r="B79" s="42">
        <v>300</v>
      </c>
      <c r="C79" s="11" t="s">
        <v>82</v>
      </c>
      <c r="D79" s="43"/>
    </row>
    <row r="80" spans="1:4" x14ac:dyDescent="0.25">
      <c r="A80" s="11" t="s">
        <v>161</v>
      </c>
      <c r="B80" s="42">
        <v>80</v>
      </c>
      <c r="C80" s="11" t="s">
        <v>82</v>
      </c>
      <c r="D80" s="43"/>
    </row>
    <row r="81" spans="1:4" x14ac:dyDescent="0.25">
      <c r="A81" s="11" t="s">
        <v>162</v>
      </c>
      <c r="B81" s="42">
        <v>50</v>
      </c>
      <c r="C81" s="11" t="s">
        <v>82</v>
      </c>
      <c r="D81" s="43"/>
    </row>
    <row r="82" spans="1:4" x14ac:dyDescent="0.25">
      <c r="A82" s="11" t="s">
        <v>163</v>
      </c>
      <c r="B82" s="42">
        <v>50</v>
      </c>
      <c r="C82" s="11" t="s">
        <v>82</v>
      </c>
      <c r="D82" s="43"/>
    </row>
    <row r="83" spans="1:4" x14ac:dyDescent="0.25">
      <c r="A83" s="11" t="s">
        <v>164</v>
      </c>
      <c r="B83" s="42">
        <v>100</v>
      </c>
      <c r="C83" s="11" t="s">
        <v>82</v>
      </c>
      <c r="D83" s="43"/>
    </row>
    <row r="84" spans="1:4" x14ac:dyDescent="0.25">
      <c r="A84" s="11" t="s">
        <v>165</v>
      </c>
      <c r="B84" s="42">
        <v>0</v>
      </c>
      <c r="C84" s="11" t="s">
        <v>82</v>
      </c>
      <c r="D84" s="43"/>
    </row>
    <row r="85" spans="1:4" x14ac:dyDescent="0.25">
      <c r="A85" s="11" t="s">
        <v>166</v>
      </c>
      <c r="B85" s="42">
        <v>8000</v>
      </c>
      <c r="C85" s="11" t="s">
        <v>82</v>
      </c>
      <c r="D85" s="43"/>
    </row>
    <row r="86" spans="1:4" x14ac:dyDescent="0.25">
      <c r="A86" s="11" t="s">
        <v>167</v>
      </c>
      <c r="B86" s="42">
        <v>5</v>
      </c>
      <c r="C86" s="11" t="s">
        <v>118</v>
      </c>
      <c r="D86" s="43"/>
    </row>
    <row r="88" ht="20" customHeight="1" spans="1:4" x14ac:dyDescent="0.25">
      <c r="A88" s="27" t="s">
        <v>168</v>
      </c>
      <c r="B88" s="41"/>
      <c r="C88" s="41"/>
      <c r="D88" s="41"/>
    </row>
    <row r="89" ht="22" customHeight="1" spans="1:4" x14ac:dyDescent="0.25">
      <c r="A89" s="9" t="s">
        <v>169</v>
      </c>
      <c r="B89" s="10" t="s">
        <v>170</v>
      </c>
      <c r="C89" s="10" t="s">
        <v>171</v>
      </c>
      <c r="D89" s="10" t="s">
        <v>71</v>
      </c>
    </row>
    <row r="90" spans="1:4" x14ac:dyDescent="0.25">
      <c r="A90" s="18" t="s">
        <v>172</v>
      </c>
      <c r="B90" s="18">
        <v>3</v>
      </c>
      <c r="C90" s="44">
        <v>0.35</v>
      </c>
      <c r="D90" s="18" t="s">
        <v>82</v>
      </c>
    </row>
    <row r="91" spans="1:4" x14ac:dyDescent="0.25">
      <c r="A91" s="18" t="s">
        <v>173</v>
      </c>
      <c r="B91" s="18">
        <v>21</v>
      </c>
      <c r="C91" s="44">
        <v>1.1</v>
      </c>
      <c r="D91" s="18" t="s">
        <v>82</v>
      </c>
    </row>
    <row r="92" spans="1:4" x14ac:dyDescent="0.25">
      <c r="A92" s="18" t="s">
        <v>174</v>
      </c>
      <c r="B92" s="18">
        <v>42</v>
      </c>
      <c r="C92" s="44">
        <v>1.4</v>
      </c>
      <c r="D92" s="18" t="s">
        <v>82</v>
      </c>
    </row>
    <row r="93" spans="1:4" x14ac:dyDescent="0.25">
      <c r="A93" s="18" t="s">
        <v>175</v>
      </c>
      <c r="B93" s="18">
        <v>70</v>
      </c>
      <c r="C93" s="44">
        <v>0.45</v>
      </c>
      <c r="D93" s="18" t="s">
        <v>82</v>
      </c>
    </row>
  </sheetData>
  <mergeCells count="2">
    <mergeCell ref="A2:D2"/>
    <mergeCell ref="A3:D3"/>
  </mergeCells>
  <pageMargins left="0.35" right="0.35" top="0.5" bottom="0.5" header="0.2" footer="0.2"/>
  <pageSetup paperSize="9" orientation="portrait" horizontalDpi="4294967295" verticalDpi="4294967295" scale="100" fitToWidth="1" fitToHeight="0"/>
  <headerFooter>
    <oddFooter>&amp;LModel assumptions&amp;RPage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Cash Flow</vt:lpstr>
      <vt:lpstr>Herd Plan</vt:lpstr>
      <vt:lpstr>Assumptions</vt:lpstr>
    </vt:vector>
  </TitlesOfParts>
  <Company>My piggery plan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PigFlow</dc:creator>
  <dc:title>My piggery plan funding cashflow</dc:title>
  <dc:subject>Detailed piggery cashflow and production plan</dc:subject>
  <dc:description>Funder-ready cashflow generated from the PigFlow animal-level simulation.</dc:description>
  <cp:keywords/>
  <cp:category/>
  <cp:lastModifiedBy>Unknown</cp:lastModifiedBy>
  <dcterms:created xsi:type="dcterms:W3CDTF">2026-09-16T19:06:11Z</dcterms:created>
  <dcterms:modified xsi:type="dcterms:W3CDTF">2026-09-16T19:06:11Z</dcterms:modified>
</cp:coreProperties>
</file>